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445" windowWidth="15600" windowHeight="7515" firstSheet="2" activeTab="9"/>
  </bookViews>
  <sheets>
    <sheet name="12月-銷售額&amp;利潤" sheetId="1" state="hidden" r:id="rId1"/>
    <sheet name="1222-加盟店人數&amp;銷售額關係" sheetId="3" state="hidden" r:id="rId2"/>
    <sheet name="2月-電商每周銷售額&amp;利潤" sheetId="7" r:id="rId3"/>
    <sheet name="12月-加盟店每周統計" sheetId="8" state="hidden" r:id="rId4"/>
    <sheet name="12月-商品庫存數量&amp;金額" sheetId="6" state="hidden" r:id="rId5"/>
    <sheet name="12月-Line社群人數統計" sheetId="4" state="hidden" r:id="rId6"/>
    <sheet name="1227_store_information" sheetId="9" state="hidden" r:id="rId7"/>
    <sheet name="1222-明星&amp;低銷商品(1)" sheetId="5" state="hidden" r:id="rId8"/>
    <sheet name="1227_product_sales" sheetId="10" state="hidden" r:id="rId9"/>
    <sheet name="product_information" sheetId="12" r:id="rId10"/>
  </sheets>
  <definedNames>
    <definedName name="_xlnm._FilterDatabase" localSheetId="7" hidden="1">'1222-明星&amp;低銷商品(1)'!$B$1:$D$32</definedName>
    <definedName name="_xlnm._FilterDatabase" localSheetId="8" hidden="1">'1227_product_sales'!$A$1:$Q$44</definedName>
    <definedName name="_xlnm._FilterDatabase" localSheetId="4" hidden="1">'12月-商品庫存數量&amp;金額'!$A$1:$H$1</definedName>
    <definedName name="_xlnm._FilterDatabase" localSheetId="9" hidden="1">product_information!$A$1:$J$1</definedName>
  </definedNames>
  <calcPr calcId="145621"/>
</workbook>
</file>

<file path=xl/calcChain.xml><?xml version="1.0" encoding="utf-8"?>
<calcChain xmlns="http://schemas.openxmlformats.org/spreadsheetml/2006/main">
  <c r="J132" i="12" l="1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J82" i="12" l="1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J77" i="12" l="1"/>
  <c r="J78" i="12"/>
  <c r="J79" i="12"/>
  <c r="J80" i="12"/>
  <c r="J81" i="12"/>
  <c r="H77" i="12"/>
  <c r="H78" i="12"/>
  <c r="H79" i="12"/>
  <c r="H80" i="12"/>
  <c r="H81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J3" i="12" l="1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2" i="12"/>
  <c r="G6" i="7" l="1"/>
  <c r="G7" i="7"/>
  <c r="G5" i="7"/>
  <c r="F23" i="4" l="1"/>
  <c r="B31" i="3" l="1"/>
  <c r="N4" i="8" l="1"/>
  <c r="N5" i="8"/>
  <c r="N6" i="8"/>
  <c r="N7" i="8"/>
  <c r="N8" i="8"/>
  <c r="N9" i="8"/>
  <c r="N10" i="8"/>
  <c r="N11" i="8"/>
  <c r="N12" i="8"/>
  <c r="N3" i="8"/>
  <c r="I4" i="8"/>
  <c r="I5" i="8"/>
  <c r="I6" i="8"/>
  <c r="I7" i="8"/>
  <c r="I8" i="8"/>
  <c r="I9" i="8"/>
  <c r="I10" i="8"/>
  <c r="I11" i="8"/>
  <c r="I12" i="8"/>
  <c r="I3" i="8"/>
  <c r="V9" i="8" l="1"/>
  <c r="V3" i="8"/>
  <c r="V5" i="8"/>
  <c r="V8" i="8"/>
  <c r="V4" i="8"/>
  <c r="V10" i="8"/>
  <c r="V6" i="8"/>
  <c r="V12" i="8"/>
  <c r="V11" i="8"/>
  <c r="V13" i="8"/>
  <c r="V14" i="8"/>
  <c r="V15" i="8"/>
  <c r="V16" i="8"/>
  <c r="V17" i="8"/>
  <c r="V18" i="8"/>
  <c r="V19" i="8"/>
  <c r="V20" i="8"/>
  <c r="V21" i="8"/>
  <c r="V22" i="8"/>
  <c r="V7" i="8"/>
  <c r="U9" i="8"/>
  <c r="U3" i="8"/>
  <c r="U5" i="8"/>
  <c r="U8" i="8"/>
  <c r="U4" i="8"/>
  <c r="U10" i="8"/>
  <c r="U6" i="8"/>
  <c r="U12" i="8"/>
  <c r="U11" i="8"/>
  <c r="U13" i="8"/>
  <c r="U14" i="8"/>
  <c r="U15" i="8"/>
  <c r="U16" i="8"/>
  <c r="U17" i="8"/>
  <c r="U18" i="8"/>
  <c r="U19" i="8"/>
  <c r="U20" i="8"/>
  <c r="U21" i="8"/>
  <c r="U22" i="8"/>
  <c r="U7" i="8"/>
  <c r="T22" i="8"/>
  <c r="T9" i="8"/>
  <c r="T3" i="8"/>
  <c r="T5" i="8"/>
  <c r="T8" i="8"/>
  <c r="T4" i="8"/>
  <c r="T10" i="8"/>
  <c r="T6" i="8"/>
  <c r="T12" i="8"/>
  <c r="T11" i="8"/>
  <c r="T13" i="8"/>
  <c r="T14" i="8"/>
  <c r="T15" i="8"/>
  <c r="T16" i="8"/>
  <c r="T17" i="8"/>
  <c r="T18" i="8"/>
  <c r="T19" i="8"/>
  <c r="T20" i="8"/>
  <c r="T21" i="8"/>
  <c r="T7" i="8"/>
  <c r="G12" i="6" l="1"/>
  <c r="H12" i="6" s="1"/>
  <c r="G11" i="6"/>
  <c r="H11" i="6" s="1"/>
  <c r="G10" i="6"/>
  <c r="H10" i="6" s="1"/>
  <c r="H7" i="7" l="1"/>
  <c r="H6" i="7"/>
  <c r="E23" i="4" l="1"/>
  <c r="F24" i="4" s="1"/>
  <c r="D23" i="4"/>
  <c r="C23" i="4"/>
  <c r="B23" i="4"/>
  <c r="C24" i="4" l="1"/>
  <c r="E24" i="4"/>
  <c r="D24" i="4"/>
  <c r="G9" i="6" l="1"/>
  <c r="H9" i="6" s="1"/>
  <c r="G8" i="6" l="1"/>
  <c r="H8" i="6" s="1"/>
  <c r="G7" i="6"/>
  <c r="H7" i="6" s="1"/>
  <c r="G6" i="6"/>
  <c r="H6" i="6" s="1"/>
  <c r="G3" i="6" l="1"/>
  <c r="H3" i="6" s="1"/>
  <c r="G4" i="6"/>
  <c r="H4" i="6" s="1"/>
  <c r="G5" i="6"/>
  <c r="H5" i="6" s="1"/>
  <c r="G2" i="6"/>
  <c r="H2" i="6" s="1"/>
  <c r="H14" i="6" l="1"/>
  <c r="L11" i="1"/>
  <c r="K11" i="1"/>
  <c r="H4" i="1"/>
  <c r="F4" i="1"/>
  <c r="F5" i="1" s="1"/>
  <c r="L12" i="1" l="1"/>
  <c r="H5" i="1"/>
  <c r="M25" i="1" l="1"/>
  <c r="M29" i="1" s="1"/>
  <c r="F25" i="1" l="1"/>
  <c r="F29" i="1" s="1"/>
  <c r="G25" i="1"/>
  <c r="G29" i="1" s="1"/>
  <c r="H25" i="1"/>
  <c r="H29" i="1" s="1"/>
  <c r="I25" i="1"/>
  <c r="I29" i="1" s="1"/>
  <c r="J25" i="1"/>
  <c r="J29" i="1" s="1"/>
  <c r="K25" i="1"/>
  <c r="K29" i="1" s="1"/>
  <c r="L25" i="1"/>
  <c r="L29" i="1" s="1"/>
  <c r="E25" i="1"/>
  <c r="E29" i="1" s="1"/>
  <c r="K20" i="1" l="1"/>
  <c r="K23" i="1" s="1"/>
  <c r="K27" i="1" s="1"/>
  <c r="P4" i="1"/>
  <c r="P5" i="1" s="1"/>
  <c r="K12" i="1" s="1"/>
  <c r="M12" i="1" s="1"/>
  <c r="F20" i="1" l="1"/>
  <c r="F23" i="1" s="1"/>
  <c r="F27" i="1" s="1"/>
  <c r="G20" i="1"/>
  <c r="G23" i="1" s="1"/>
  <c r="G27" i="1" s="1"/>
  <c r="H20" i="1"/>
  <c r="H23" i="1" s="1"/>
  <c r="H27" i="1" s="1"/>
  <c r="I20" i="1"/>
  <c r="I23" i="1" s="1"/>
  <c r="I27" i="1" s="1"/>
  <c r="J20" i="1"/>
  <c r="J23" i="1" s="1"/>
  <c r="J27" i="1" s="1"/>
  <c r="L20" i="1"/>
  <c r="L23" i="1" s="1"/>
  <c r="L27" i="1" s="1"/>
  <c r="M20" i="1"/>
  <c r="M23" i="1" s="1"/>
  <c r="M27" i="1" s="1"/>
  <c r="N20" i="1"/>
  <c r="O20" i="1"/>
  <c r="P20" i="1"/>
  <c r="Q20" i="1"/>
  <c r="R20" i="1"/>
  <c r="S20" i="1"/>
  <c r="T20" i="1"/>
  <c r="U20" i="1"/>
  <c r="V20" i="1"/>
  <c r="W20" i="1"/>
  <c r="E20" i="1"/>
  <c r="E23" i="1" s="1"/>
  <c r="E27" i="1" s="1"/>
</calcChain>
</file>

<file path=xl/sharedStrings.xml><?xml version="1.0" encoding="utf-8"?>
<sst xmlns="http://schemas.openxmlformats.org/spreadsheetml/2006/main" count="885" uniqueCount="228">
  <si>
    <t>第一周</t>
    <phoneticPr fontId="1" type="noConversion"/>
  </si>
  <si>
    <t>11/29~12/05</t>
    <phoneticPr fontId="1" type="noConversion"/>
  </si>
  <si>
    <t>12月</t>
    <phoneticPr fontId="1" type="noConversion"/>
  </si>
  <si>
    <t>年分</t>
    <phoneticPr fontId="1" type="noConversion"/>
  </si>
  <si>
    <t>月份</t>
    <phoneticPr fontId="1" type="noConversion"/>
  </si>
  <si>
    <t>周</t>
    <phoneticPr fontId="1" type="noConversion"/>
  </si>
  <si>
    <t>日期</t>
    <phoneticPr fontId="1" type="noConversion"/>
  </si>
  <si>
    <t>銷售額</t>
    <phoneticPr fontId="1" type="noConversion"/>
  </si>
  <si>
    <t>累計銷售額</t>
    <phoneticPr fontId="1" type="noConversion"/>
  </si>
  <si>
    <t>達成率</t>
    <phoneticPr fontId="1" type="noConversion"/>
  </si>
  <si>
    <t>第二周</t>
    <phoneticPr fontId="1" type="noConversion"/>
  </si>
  <si>
    <t>12/06~12/12</t>
    <phoneticPr fontId="1" type="noConversion"/>
  </si>
  <si>
    <t>第三周</t>
    <phoneticPr fontId="1" type="noConversion"/>
  </si>
  <si>
    <t>第四周</t>
    <phoneticPr fontId="1" type="noConversion"/>
  </si>
  <si>
    <t>12/13~12/19</t>
    <phoneticPr fontId="1" type="noConversion"/>
  </si>
  <si>
    <t>12/20~12/26</t>
    <phoneticPr fontId="1" type="noConversion"/>
  </si>
  <si>
    <t>第五周</t>
    <phoneticPr fontId="1" type="noConversion"/>
  </si>
  <si>
    <t>12/27~12/31</t>
    <phoneticPr fontId="1" type="noConversion"/>
  </si>
  <si>
    <t>加盟店累積營業額</t>
    <phoneticPr fontId="1" type="noConversion"/>
  </si>
  <si>
    <t>台中松竹</t>
  </si>
  <si>
    <t>潮州南進</t>
  </si>
  <si>
    <t>台中陝西</t>
  </si>
  <si>
    <t>八德陸光</t>
  </si>
  <si>
    <t>新竹龍山</t>
  </si>
  <si>
    <t>岡山岡燕</t>
  </si>
  <si>
    <t>鹿港中正</t>
  </si>
  <si>
    <t>屏東萬隆</t>
  </si>
  <si>
    <t>新竹東南</t>
  </si>
  <si>
    <t>新莊中信</t>
  </si>
  <si>
    <t>板橋懷德</t>
  </si>
  <si>
    <t>大里永隆</t>
  </si>
  <si>
    <t>新竹建功</t>
  </si>
  <si>
    <t>龍潭五福</t>
  </si>
  <si>
    <t>下營中山</t>
  </si>
  <si>
    <t>內湖星雲</t>
  </si>
  <si>
    <t>台南崇德</t>
  </si>
  <si>
    <t>花壇中山</t>
  </si>
  <si>
    <t>蝦皮累積營業額</t>
    <phoneticPr fontId="1" type="noConversion"/>
  </si>
  <si>
    <t>加盟店累積營業額</t>
    <phoneticPr fontId="1" type="noConversion"/>
  </si>
  <si>
    <t>電商課累積營業額</t>
    <phoneticPr fontId="1" type="noConversion"/>
  </si>
  <si>
    <t>利潤</t>
    <phoneticPr fontId="1" type="noConversion"/>
  </si>
  <si>
    <t>台中大連</t>
    <phoneticPr fontId="1" type="noConversion"/>
  </si>
  <si>
    <t>星期幾</t>
    <phoneticPr fontId="1" type="noConversion"/>
  </si>
  <si>
    <t>台中大連</t>
  </si>
  <si>
    <t>總人數</t>
    <phoneticPr fontId="1" type="noConversion"/>
  </si>
  <si>
    <t>人數成長率</t>
    <phoneticPr fontId="1" type="noConversion"/>
  </si>
  <si>
    <t>人數</t>
    <phoneticPr fontId="1" type="noConversion"/>
  </si>
  <si>
    <t>累計銷售額</t>
    <phoneticPr fontId="1" type="noConversion"/>
  </si>
  <si>
    <t>楊梅金山</t>
    <phoneticPr fontId="1" type="noConversion"/>
  </si>
  <si>
    <t>品項</t>
    <phoneticPr fontId="8" type="noConversion"/>
  </si>
  <si>
    <t>銷售數量</t>
    <phoneticPr fontId="8" type="noConversion"/>
  </si>
  <si>
    <t>累計銷售額</t>
    <phoneticPr fontId="1" type="noConversion"/>
  </si>
  <si>
    <t>累計利潤</t>
    <phoneticPr fontId="1" type="noConversion"/>
  </si>
  <si>
    <t>利潤</t>
    <phoneticPr fontId="1" type="noConversion"/>
  </si>
  <si>
    <t>累計利潤</t>
    <phoneticPr fontId="1" type="noConversion"/>
  </si>
  <si>
    <t>銷售額目標:50000</t>
    <phoneticPr fontId="1" type="noConversion"/>
  </si>
  <si>
    <t>店家</t>
    <phoneticPr fontId="1" type="noConversion"/>
  </si>
  <si>
    <t>累計利潤</t>
    <phoneticPr fontId="1" type="noConversion"/>
  </si>
  <si>
    <t>黃金脆梅</t>
    <phoneticPr fontId="1" type="noConversion"/>
  </si>
  <si>
    <t>紫蘇梅</t>
    <phoneticPr fontId="1" type="noConversion"/>
  </si>
  <si>
    <t>銷售數量</t>
    <phoneticPr fontId="1" type="noConversion"/>
  </si>
  <si>
    <t>庫存數量</t>
    <phoneticPr fontId="1" type="noConversion"/>
  </si>
  <si>
    <t>進貨量</t>
    <phoneticPr fontId="1" type="noConversion"/>
  </si>
  <si>
    <t>效期</t>
    <phoneticPr fontId="1" type="noConversion"/>
  </si>
  <si>
    <t>水蜜桃果乾</t>
    <phoneticPr fontId="1" type="noConversion"/>
  </si>
  <si>
    <t>蘋果果乾</t>
    <phoneticPr fontId="1" type="noConversion"/>
  </si>
  <si>
    <t>洛神花果乾</t>
    <phoneticPr fontId="1" type="noConversion"/>
  </si>
  <si>
    <t>珍珠芭樂果乾</t>
    <phoneticPr fontId="1" type="noConversion"/>
  </si>
  <si>
    <t>柚子皮果乾</t>
    <phoneticPr fontId="1" type="noConversion"/>
  </si>
  <si>
    <t>庫存金額</t>
    <phoneticPr fontId="1" type="noConversion"/>
  </si>
  <si>
    <t>進價</t>
    <phoneticPr fontId="1" type="noConversion"/>
  </si>
  <si>
    <t>醉雞腿</t>
    <phoneticPr fontId="1" type="noConversion"/>
  </si>
  <si>
    <t>龍蝦湯麵</t>
    <phoneticPr fontId="1" type="noConversion"/>
  </si>
  <si>
    <t>泡菜湯麵</t>
    <phoneticPr fontId="1" type="noConversion"/>
  </si>
  <si>
    <t>椒鹽海苔</t>
    <phoneticPr fontId="1" type="noConversion"/>
  </si>
  <si>
    <t>品項</t>
    <phoneticPr fontId="1" type="noConversion"/>
  </si>
  <si>
    <t>廠商</t>
    <phoneticPr fontId="1" type="noConversion"/>
  </si>
  <si>
    <t>甘心樂意</t>
    <phoneticPr fontId="1" type="noConversion"/>
  </si>
  <si>
    <t>三橋</t>
    <phoneticPr fontId="1" type="noConversion"/>
  </si>
  <si>
    <t>良浩</t>
    <phoneticPr fontId="1" type="noConversion"/>
  </si>
  <si>
    <t>總庫存金額</t>
    <phoneticPr fontId="1" type="noConversion"/>
  </si>
  <si>
    <t>週一</t>
    <phoneticPr fontId="1" type="noConversion"/>
  </si>
  <si>
    <t>楊梅金山</t>
    <phoneticPr fontId="1" type="noConversion"/>
  </si>
  <si>
    <t>銷售量</t>
    <phoneticPr fontId="1" type="noConversion"/>
  </si>
  <si>
    <t>利潤</t>
    <phoneticPr fontId="1" type="noConversion"/>
  </si>
  <si>
    <t>累計利潤</t>
    <phoneticPr fontId="1" type="noConversion"/>
  </si>
  <si>
    <t>累計利潤</t>
    <phoneticPr fontId="1" type="noConversion"/>
  </si>
  <si>
    <t>TOTAL</t>
    <phoneticPr fontId="1" type="noConversion"/>
  </si>
  <si>
    <t>建成農產行</t>
    <phoneticPr fontId="1" type="noConversion"/>
  </si>
  <si>
    <t>楊梅金山</t>
  </si>
  <si>
    <t>利潤</t>
    <phoneticPr fontId="1" type="noConversion"/>
  </si>
  <si>
    <t>銷售額</t>
    <phoneticPr fontId="1" type="noConversion"/>
  </si>
  <si>
    <t>銷售量</t>
    <phoneticPr fontId="1" type="noConversion"/>
  </si>
  <si>
    <t>12/13~12/17</t>
    <phoneticPr fontId="1" type="noConversion"/>
  </si>
  <si>
    <t>12/06~12/10</t>
    <phoneticPr fontId="1" type="noConversion"/>
  </si>
  <si>
    <t>11/29~12/03</t>
    <phoneticPr fontId="1" type="noConversion"/>
  </si>
  <si>
    <t>2021/12月</t>
    <phoneticPr fontId="1" type="noConversion"/>
  </si>
  <si>
    <t>總銷售量</t>
    <phoneticPr fontId="1" type="noConversion"/>
  </si>
  <si>
    <t>總銷售額</t>
    <phoneticPr fontId="1" type="noConversion"/>
  </si>
  <si>
    <t>總利潤</t>
    <phoneticPr fontId="1" type="noConversion"/>
  </si>
  <si>
    <t>Total</t>
    <phoneticPr fontId="1" type="noConversion"/>
  </si>
  <si>
    <t>12/20~12/24</t>
    <phoneticPr fontId="1" type="noConversion"/>
  </si>
  <si>
    <t>店家</t>
    <phoneticPr fontId="1" type="noConversion"/>
  </si>
  <si>
    <t>藥燉排骨</t>
    <phoneticPr fontId="8" type="noConversion"/>
  </si>
  <si>
    <t>分類</t>
    <phoneticPr fontId="8" type="noConversion"/>
  </si>
  <si>
    <t>c</t>
    <phoneticPr fontId="8" type="noConversion"/>
  </si>
  <si>
    <t>白醬培根義大利麵</t>
    <phoneticPr fontId="8" type="noConversion"/>
  </si>
  <si>
    <t>椒鹽海苔</t>
    <phoneticPr fontId="8" type="noConversion"/>
  </si>
  <si>
    <t>蒜香海苔</t>
    <phoneticPr fontId="8" type="noConversion"/>
  </si>
  <si>
    <t>蘿蔔糕</t>
    <phoneticPr fontId="8" type="noConversion"/>
  </si>
  <si>
    <t>蝦仁球</t>
    <phoneticPr fontId="8" type="noConversion"/>
  </si>
  <si>
    <t>e</t>
    <phoneticPr fontId="8" type="noConversion"/>
  </si>
  <si>
    <t>b</t>
  </si>
  <si>
    <t>b</t>
    <phoneticPr fontId="8" type="noConversion"/>
  </si>
  <si>
    <t>a</t>
    <phoneticPr fontId="8" type="noConversion"/>
  </si>
  <si>
    <t>c</t>
    <phoneticPr fontId="8" type="noConversion"/>
  </si>
  <si>
    <t>e</t>
    <phoneticPr fontId="8" type="noConversion"/>
  </si>
  <si>
    <t>d</t>
    <phoneticPr fontId="8" type="noConversion"/>
  </si>
  <si>
    <t>韭菜水餃</t>
    <phoneticPr fontId="8" type="noConversion"/>
  </si>
  <si>
    <t>番茄肉醬義大利麵</t>
    <phoneticPr fontId="8" type="noConversion"/>
  </si>
  <si>
    <t>陳記蝦捲</t>
    <phoneticPr fontId="8" type="noConversion"/>
  </si>
  <si>
    <t>原味舒肥雞</t>
    <phoneticPr fontId="8" type="noConversion"/>
  </si>
  <si>
    <t>醉雞腿</t>
    <phoneticPr fontId="8" type="noConversion"/>
  </si>
  <si>
    <t>月亮蝦餅</t>
    <phoneticPr fontId="8" type="noConversion"/>
  </si>
  <si>
    <t>黃金脆梅</t>
    <phoneticPr fontId="8" type="noConversion"/>
  </si>
  <si>
    <t>龍蝦湯麵</t>
    <phoneticPr fontId="8" type="noConversion"/>
  </si>
  <si>
    <t>酸菜白肉</t>
    <phoneticPr fontId="8" type="noConversion"/>
  </si>
  <si>
    <t>塔香魚皮</t>
    <phoneticPr fontId="8" type="noConversion"/>
  </si>
  <si>
    <t>泡菜湯麵</t>
    <phoneticPr fontId="8" type="noConversion"/>
  </si>
  <si>
    <t>牛肉水餃</t>
    <phoneticPr fontId="8" type="noConversion"/>
  </si>
  <si>
    <t>義式舒肥雞</t>
    <phoneticPr fontId="8" type="noConversion"/>
  </si>
  <si>
    <t>黃金泡菜</t>
    <phoneticPr fontId="8" type="noConversion"/>
  </si>
  <si>
    <t>蒜香魚皮</t>
    <phoneticPr fontId="8" type="noConversion"/>
  </si>
  <si>
    <t>無骨鹽酥雞</t>
    <phoneticPr fontId="8" type="noConversion"/>
  </si>
  <si>
    <t>金沙馬鈴薯片</t>
    <phoneticPr fontId="8" type="noConversion"/>
  </si>
  <si>
    <t>金沙魚皮</t>
    <phoneticPr fontId="8" type="noConversion"/>
  </si>
  <si>
    <t>鹹豬肉</t>
    <phoneticPr fontId="8" type="noConversion"/>
  </si>
  <si>
    <t>紫蘇梅</t>
    <phoneticPr fontId="8" type="noConversion"/>
  </si>
  <si>
    <t>蘋果果乾</t>
    <phoneticPr fontId="8" type="noConversion"/>
  </si>
  <si>
    <t>紫玉Q心團子</t>
    <phoneticPr fontId="8" type="noConversion"/>
  </si>
  <si>
    <t>黑豆玄米抹茶粉</t>
    <phoneticPr fontId="8" type="noConversion"/>
  </si>
  <si>
    <t>香菇貢丸</t>
    <phoneticPr fontId="8" type="noConversion"/>
  </si>
  <si>
    <t>水蜜桃果乾</t>
    <phoneticPr fontId="8" type="noConversion"/>
  </si>
  <si>
    <t>價格</t>
    <phoneticPr fontId="1" type="noConversion"/>
  </si>
  <si>
    <t>洛神花果乾</t>
    <phoneticPr fontId="8" type="noConversion"/>
  </si>
  <si>
    <t>珍珠芭樂果乾</t>
    <phoneticPr fontId="8" type="noConversion"/>
  </si>
  <si>
    <t>黃金柚子皮果乾</t>
    <phoneticPr fontId="8" type="noConversion"/>
  </si>
  <si>
    <t>e</t>
    <phoneticPr fontId="8" type="noConversion"/>
  </si>
  <si>
    <t>成長率</t>
    <phoneticPr fontId="1" type="noConversion"/>
  </si>
  <si>
    <t>日期</t>
    <phoneticPr fontId="1" type="noConversion"/>
  </si>
  <si>
    <t>人數</t>
    <phoneticPr fontId="1" type="noConversion"/>
  </si>
  <si>
    <t>店家</t>
    <phoneticPr fontId="1" type="noConversion"/>
  </si>
  <si>
    <t>銷售量</t>
    <phoneticPr fontId="1" type="noConversion"/>
  </si>
  <si>
    <t>銷售額</t>
    <phoneticPr fontId="1" type="noConversion"/>
  </si>
  <si>
    <t>店長利潤</t>
    <phoneticPr fontId="1" type="noConversion"/>
  </si>
  <si>
    <t>高麗菜水餃</t>
    <phoneticPr fontId="8" type="noConversion"/>
  </si>
  <si>
    <t>玉米水餃</t>
    <phoneticPr fontId="8" type="noConversion"/>
  </si>
  <si>
    <t>調理包_紅燒牛南</t>
    <phoneticPr fontId="8" type="noConversion"/>
  </si>
  <si>
    <t>調理包_黑胡椒豬肉</t>
    <phoneticPr fontId="8" type="noConversion"/>
  </si>
  <si>
    <t>調理包_三杯雞</t>
    <phoneticPr fontId="8" type="noConversion"/>
  </si>
  <si>
    <t>c</t>
    <phoneticPr fontId="1" type="noConversion"/>
  </si>
  <si>
    <t>棒小子肉乾</t>
    <phoneticPr fontId="8" type="noConversion"/>
  </si>
  <si>
    <t>熟杏仁肉紙</t>
    <phoneticPr fontId="8" type="noConversion"/>
  </si>
  <si>
    <t>紅燒羊肉爐</t>
    <phoneticPr fontId="8" type="noConversion"/>
  </si>
  <si>
    <t>韓式部隊</t>
    <phoneticPr fontId="8" type="noConversion"/>
  </si>
  <si>
    <t>b</t>
    <phoneticPr fontId="8" type="noConversion"/>
  </si>
  <si>
    <t>日期</t>
    <phoneticPr fontId="1" type="noConversion"/>
  </si>
  <si>
    <t>廠商進價</t>
    <phoneticPr fontId="1" type="noConversion"/>
  </si>
  <si>
    <t>加盟店進價</t>
    <phoneticPr fontId="1" type="noConversion"/>
  </si>
  <si>
    <t>建議售價</t>
    <phoneticPr fontId="1" type="noConversion"/>
  </si>
  <si>
    <t>日期</t>
  </si>
  <si>
    <t>品項</t>
  </si>
  <si>
    <t>廠商進價</t>
  </si>
  <si>
    <t>加盟店進價</t>
  </si>
  <si>
    <t>店家</t>
    <phoneticPr fontId="8" type="noConversion"/>
  </si>
  <si>
    <t>人數</t>
    <phoneticPr fontId="8" type="noConversion"/>
  </si>
  <si>
    <t>銷售量</t>
    <phoneticPr fontId="8" type="noConversion"/>
  </si>
  <si>
    <t>銷售額</t>
    <phoneticPr fontId="8" type="noConversion"/>
  </si>
  <si>
    <t>韭菜水餃</t>
    <phoneticPr fontId="8" type="noConversion"/>
  </si>
  <si>
    <t>利潤</t>
    <phoneticPr fontId="8" type="noConversion"/>
  </si>
  <si>
    <t>建議售價</t>
    <phoneticPr fontId="8" type="noConversion"/>
  </si>
  <si>
    <t>第一周</t>
    <phoneticPr fontId="1" type="noConversion"/>
  </si>
  <si>
    <t>第二周</t>
    <phoneticPr fontId="1" type="noConversion"/>
  </si>
  <si>
    <t>第三周</t>
    <phoneticPr fontId="1" type="noConversion"/>
  </si>
  <si>
    <t>第四周</t>
    <phoneticPr fontId="1" type="noConversion"/>
  </si>
  <si>
    <t>2月</t>
    <phoneticPr fontId="1" type="noConversion"/>
  </si>
  <si>
    <t>1/31~2/04</t>
    <phoneticPr fontId="1" type="noConversion"/>
  </si>
  <si>
    <t>2/07~2/11</t>
    <phoneticPr fontId="1" type="noConversion"/>
  </si>
  <si>
    <t>2/14~2/18</t>
    <phoneticPr fontId="1" type="noConversion"/>
  </si>
  <si>
    <t>2/21~2/28</t>
    <phoneticPr fontId="1" type="noConversion"/>
  </si>
  <si>
    <t>實際(未稅)</t>
    <phoneticPr fontId="1" type="noConversion"/>
  </si>
  <si>
    <t>滷味_毛豆</t>
  </si>
  <si>
    <t>滷味_毛豆</t>
    <phoneticPr fontId="8" type="noConversion"/>
  </si>
  <si>
    <t>滷味_豬耳朵</t>
  </si>
  <si>
    <t>滷味_豬耳朵</t>
    <phoneticPr fontId="8" type="noConversion"/>
  </si>
  <si>
    <t>白醬培根義大利麵</t>
  </si>
  <si>
    <t>白醬培根義大利麵</t>
    <phoneticPr fontId="8" type="noConversion"/>
  </si>
  <si>
    <t>番茄肉醬義大利麵</t>
  </si>
  <si>
    <t>番茄肉醬義大利麵</t>
    <phoneticPr fontId="8" type="noConversion"/>
  </si>
  <si>
    <t>藥燉排骨</t>
  </si>
  <si>
    <t>藥燉排骨</t>
    <phoneticPr fontId="8" type="noConversion"/>
  </si>
  <si>
    <t>棒小子肉乾</t>
  </si>
  <si>
    <t>棒小子肉乾</t>
    <phoneticPr fontId="8" type="noConversion"/>
  </si>
  <si>
    <t>千層塔塔酥餅_紅豆</t>
  </si>
  <si>
    <t>千層塔塔酥餅_紅豆</t>
    <phoneticPr fontId="8" type="noConversion"/>
  </si>
  <si>
    <t>千層塔塔酥餅_芋頭</t>
  </si>
  <si>
    <t>千層塔塔酥餅_芋頭</t>
    <phoneticPr fontId="8" type="noConversion"/>
  </si>
  <si>
    <t>楊梅金山</t>
    <phoneticPr fontId="8" type="noConversion"/>
  </si>
  <si>
    <t>調理包_黑胡椒豬</t>
  </si>
  <si>
    <t>調理包_黑胡椒豬</t>
    <phoneticPr fontId="8" type="noConversion"/>
  </si>
  <si>
    <t>調理包_三杯雞</t>
  </si>
  <si>
    <t>調理包_三杯雞</t>
    <phoneticPr fontId="8" type="noConversion"/>
  </si>
  <si>
    <t>調理包_紅燒牛</t>
  </si>
  <si>
    <t>調理包_紅燒牛</t>
    <phoneticPr fontId="8" type="noConversion"/>
  </si>
  <si>
    <t>高麗菜水餃</t>
  </si>
  <si>
    <t>高麗菜水餃</t>
    <phoneticPr fontId="8" type="noConversion"/>
  </si>
  <si>
    <t>韭菜水餃</t>
  </si>
  <si>
    <t>韭菜水餃</t>
    <phoneticPr fontId="8" type="noConversion"/>
  </si>
  <si>
    <t xml:space="preserve">玉米濃湯 </t>
  </si>
  <si>
    <t xml:space="preserve">玉米濃湯 </t>
    <phoneticPr fontId="8" type="noConversion"/>
  </si>
  <si>
    <t>海鮮焗飯</t>
  </si>
  <si>
    <t>海鮮焗飯</t>
    <phoneticPr fontId="8" type="noConversion"/>
  </si>
  <si>
    <t xml:space="preserve">咖哩焗飯 </t>
  </si>
  <si>
    <t xml:space="preserve">咖哩焗飯 </t>
    <phoneticPr fontId="8" type="noConversion"/>
  </si>
  <si>
    <t xml:space="preserve">牛肉丸子燉飯 </t>
  </si>
  <si>
    <t xml:space="preserve">牛肉丸子燉飯 </t>
    <phoneticPr fontId="8" type="noConversion"/>
  </si>
  <si>
    <t>青醬雞肉燉飯</t>
  </si>
  <si>
    <t>青醬雞肉燉飯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</si>
</sst>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0_);[Red]\(0\)"/>
    <numFmt numFmtId="178" formatCode="yyyy/m/d;@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9"/>
      <name val="細明體"/>
      <family val="3"/>
      <charset val="136"/>
    </font>
    <font>
      <sz val="16"/>
      <color rgb="FFFF0000"/>
      <name val="新細明體"/>
      <family val="2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7" fillId="0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34" xfId="0" applyFont="1" applyBorder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15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15" fillId="0" borderId="27" xfId="0" applyFont="1" applyBorder="1">
      <alignment vertical="center"/>
    </xf>
    <xf numFmtId="14" fontId="0" fillId="0" borderId="1" xfId="0" applyNumberFormat="1" applyBorder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Fill="1" applyBorder="1">
      <alignment vertical="center"/>
    </xf>
    <xf numFmtId="14" fontId="0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14" fontId="0" fillId="6" borderId="1" xfId="0" applyNumberForma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14" fontId="0" fillId="7" borderId="1" xfId="0" applyNumberFormat="1" applyFont="1" applyFill="1" applyBorder="1">
      <alignment vertical="center"/>
    </xf>
    <xf numFmtId="14" fontId="0" fillId="8" borderId="1" xfId="0" applyNumberFormat="1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7" xfId="0" applyFont="1" applyFill="1" applyBorder="1">
      <alignment vertical="center"/>
    </xf>
    <xf numFmtId="14" fontId="0" fillId="0" borderId="0" xfId="0" applyNumberFormat="1">
      <alignment vertical="center"/>
    </xf>
    <xf numFmtId="1" fontId="12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2021/12</a:t>
            </a:r>
            <a:r>
              <a:rPr lang="zh-TW" altLang="en-US"/>
              <a:t>月份</a:t>
            </a:r>
            <a:r>
              <a:rPr lang="en-US" altLang="zh-TW"/>
              <a:t>-</a:t>
            </a:r>
            <a:r>
              <a:rPr lang="zh-TW" altLang="en-US"/>
              <a:t>電商課每周銷售額</a:t>
            </a:r>
            <a:endParaRPr lang="en-US" altLang="zh-TW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>
                    <a:lumMod val="40000"/>
                    <a:lumOff val="60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5.7784911717495988E-2"/>
                  <c:y val="-5.5375543720610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3.7453183520599252E-2"/>
                  <c:y val="-7.108491782574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'12月-銷售額&amp;利潤'!$C$3:$C$7</c:f>
              <c:strCache>
                <c:ptCount val="5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  <c:pt idx="4">
                  <c:v>第五周</c:v>
                </c:pt>
              </c:strCache>
            </c:strRef>
          </c:cat>
          <c:val>
            <c:numRef>
              <c:f>'12月-銷售額&amp;利潤'!$E$3:$E$7</c:f>
              <c:numCache>
                <c:formatCode>General</c:formatCode>
                <c:ptCount val="5"/>
                <c:pt idx="0">
                  <c:v>12834</c:v>
                </c:pt>
                <c:pt idx="1">
                  <c:v>8410</c:v>
                </c:pt>
                <c:pt idx="2">
                  <c:v>14817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733376"/>
        <c:axId val="127455744"/>
      </c:lineChart>
      <c:catAx>
        <c:axId val="1257333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7455744"/>
        <c:crosses val="autoZero"/>
        <c:auto val="1"/>
        <c:lblAlgn val="ctr"/>
        <c:lblOffset val="100"/>
        <c:noMultiLvlLbl val="0"/>
      </c:catAx>
      <c:valAx>
        <c:axId val="127455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5733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 i="0" u="none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en-US" altLang="zh-TW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11/29-12/20</a:t>
            </a:r>
          </a:p>
          <a:p>
            <a:pPr>
              <a:defRPr b="0" i="0" u="none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zh-TW" altLang="en-US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人數</a:t>
            </a:r>
            <a:r>
              <a:rPr lang="en-US" altLang="zh-TW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累計銷售額 關係</a:t>
            </a:r>
            <a:endParaRPr lang="en-US" altLang="zh-TW" b="0" i="0" u="none">
              <a:latin typeface="華康中特圓體" panose="020F0809000000000000" pitchFamily="49" charset="-120"/>
              <a:ea typeface="華康中特圓體" panose="020F0809000000000000" pitchFamily="49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719973682534966"/>
          <c:y val="0.20005989817310568"/>
          <c:w val="0.63568436020969077"/>
          <c:h val="0.636083697085034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'1222-加盟店人數&amp;銷售額關係'!$C$1</c:f>
              <c:strCache>
                <c:ptCount val="1"/>
                <c:pt idx="0">
                  <c:v>累計銷售額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70C0"/>
              </a:solidFill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25977318872876748"/>
                  <c:y val="3.6448274154409946E-2"/>
                </c:manualLayout>
              </c:layout>
              <c:tx>
                <c:rich>
                  <a:bodyPr/>
                  <a:lstStyle/>
                  <a:p>
                    <a:pPr>
                      <a:defRPr sz="140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defRPr>
                    </a:pPr>
                    <a:r>
                      <a:rPr lang="en-US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y = </a:t>
                    </a:r>
                    <a:r>
                      <a:rPr lang="en-US" altLang="en-US" sz="1400" baseline="0">
                        <a:solidFill>
                          <a:srgbClr val="FF0000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68.808</a:t>
                    </a:r>
                    <a:r>
                      <a:rPr lang="en-US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x - 468.54</a:t>
                    </a:r>
                    <a:r>
                      <a:rPr lang="zh-TW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 ； </a:t>
                    </a:r>
                    <a:r>
                      <a:rPr lang="en-US" altLang="en-US" sz="1400" baseline="0">
                        <a:solidFill>
                          <a:srgbClr val="FF0000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R² = 0.6052</a:t>
                    </a:r>
                    <a:endParaRPr lang="en-US" altLang="en-US" sz="1400">
                      <a:solidFill>
                        <a:srgbClr val="FF0000"/>
                      </a:solidFill>
                      <a:latin typeface="華康中特圓體" panose="020F0809000000000000" pitchFamily="49" charset="-120"/>
                      <a:ea typeface="華康中特圓體" panose="020F08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'1222-加盟店人數&amp;銷售額關係'!$B$2:$B$11</c:f>
              <c:numCache>
                <c:formatCode>0_);[Red]\(0\)</c:formatCode>
                <c:ptCount val="10"/>
                <c:pt idx="0">
                  <c:v>84</c:v>
                </c:pt>
                <c:pt idx="1">
                  <c:v>43</c:v>
                </c:pt>
                <c:pt idx="2">
                  <c:v>54</c:v>
                </c:pt>
                <c:pt idx="3">
                  <c:v>69</c:v>
                </c:pt>
                <c:pt idx="4">
                  <c:v>38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16</c:v>
                </c:pt>
                <c:pt idx="9">
                  <c:v>19</c:v>
                </c:pt>
              </c:numCache>
            </c:numRef>
          </c:xVal>
          <c:yVal>
            <c:numRef>
              <c:f>'1222-加盟店人數&amp;銷售額關係'!$C$2:$C$11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8048"/>
        <c:axId val="127458624"/>
      </c:scatterChart>
      <c:valAx>
        <c:axId val="12745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r>
                  <a:rPr lang="en-US" altLang="zh-TW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Line</a:t>
                </a:r>
                <a:r>
                  <a:rPr lang="zh-TW" altLang="en-US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社群人數</a:t>
                </a:r>
              </a:p>
            </c:rich>
          </c:tx>
          <c:layout>
            <c:manualLayout>
              <c:xMode val="edge"/>
              <c:yMode val="edge"/>
              <c:x val="0.4233976413325693"/>
              <c:y val="0.91672644692998295"/>
            </c:manualLayout>
          </c:layout>
          <c:overlay val="0"/>
        </c:title>
        <c:numFmt formatCode="0_);[Red]\(0\)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7458624"/>
        <c:crosses val="autoZero"/>
        <c:crossBetween val="midCat"/>
      </c:valAx>
      <c:valAx>
        <c:axId val="12745862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zh-TW" altLang="en-US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累計銷售額</a:t>
                </a:r>
              </a:p>
            </c:rich>
          </c:tx>
          <c:layout>
            <c:manualLayout>
              <c:xMode val="edge"/>
              <c:yMode val="edge"/>
              <c:x val="5.5705300988319856E-2"/>
              <c:y val="0.3482904259609057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74580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639712488769096"/>
          <c:y val="3.2794249775381853E-2"/>
          <c:w val="0.19766397124887691"/>
          <c:h val="9.5238095238095233E-2"/>
        </c:manualLayout>
      </c:layout>
      <c:overlay val="0"/>
      <c:txPr>
        <a:bodyPr/>
        <a:lstStyle/>
        <a:p>
          <a:pPr>
            <a:defRPr>
              <a:latin typeface="華康中特圓體" panose="020F0809000000000000" pitchFamily="49" charset="-120"/>
              <a:ea typeface="華康中特圓體" panose="020F08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11/29-12/22</a:t>
            </a:r>
          </a:p>
          <a:p>
            <a:pPr>
              <a:defRPr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>
                <a:latin typeface="華康中圓體" panose="020F0509000000000000" pitchFamily="49" charset="-120"/>
                <a:ea typeface="華康中圓體" panose="020F0509000000000000" pitchFamily="49" charset="-120"/>
              </a:rPr>
              <a:t>加盟店累計銷售額</a:t>
            </a:r>
            <a:r>
              <a:rPr lang="en-US" altLang="zh-TW">
                <a:latin typeface="華康中圓體" panose="020F0509000000000000" pitchFamily="49" charset="-120"/>
                <a:ea typeface="華康中圓體" panose="020F0509000000000000" pitchFamily="49" charset="-120"/>
              </a:rPr>
              <a:t>&amp;</a:t>
            </a:r>
            <a:r>
              <a:rPr lang="zh-TW" altLang="en-US">
                <a:latin typeface="華康中圓體" panose="020F0509000000000000" pitchFamily="49" charset="-120"/>
                <a:ea typeface="華康中圓體" panose="020F0509000000000000" pitchFamily="49" charset="-120"/>
              </a:rPr>
              <a:t>累計利潤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'1222-加盟店人數&amp;銷售額關係'!$C$1</c:f>
              <c:strCache>
                <c:ptCount val="1"/>
                <c:pt idx="0">
                  <c:v>累計銷售額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4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'1222-加盟店人數&amp;銷售額關係'!$A$2:$A$11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'1222-加盟店人數&amp;銷售額關係'!$C$2:$C$11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val>
        </c:ser>
        <c:ser>
          <c:idx val="1"/>
          <c:order val="1"/>
          <c:tx>
            <c:strRef>
              <c:f>'1222-加盟店人數&amp;銷售額關係'!$D$1</c:f>
              <c:strCache>
                <c:ptCount val="1"/>
                <c:pt idx="0">
                  <c:v>累計利潤</c:v>
                </c:pt>
              </c:strCache>
            </c:strRef>
          </c:tx>
          <c:invertIfNegative val="0"/>
          <c:cat>
            <c:strRef>
              <c:f>'1222-加盟店人數&amp;銷售額關係'!$A$2:$A$11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'1222-加盟店人數&amp;銷售額關係'!$D$2:$D$11</c:f>
              <c:numCache>
                <c:formatCode>General</c:formatCode>
                <c:ptCount val="10"/>
                <c:pt idx="0">
                  <c:v>2041</c:v>
                </c:pt>
                <c:pt idx="1">
                  <c:v>974</c:v>
                </c:pt>
                <c:pt idx="2">
                  <c:v>629</c:v>
                </c:pt>
                <c:pt idx="3">
                  <c:v>727</c:v>
                </c:pt>
                <c:pt idx="4">
                  <c:v>650</c:v>
                </c:pt>
                <c:pt idx="5">
                  <c:v>393</c:v>
                </c:pt>
                <c:pt idx="6">
                  <c:v>78</c:v>
                </c:pt>
                <c:pt idx="7">
                  <c:v>286</c:v>
                </c:pt>
                <c:pt idx="8">
                  <c:v>316</c:v>
                </c:pt>
                <c:pt idx="9">
                  <c:v>201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6455808"/>
        <c:axId val="126313600"/>
      </c:barChart>
      <c:catAx>
        <c:axId val="1264558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6313600"/>
        <c:crosses val="autoZero"/>
        <c:auto val="1"/>
        <c:lblAlgn val="ctr"/>
        <c:lblOffset val="100"/>
        <c:noMultiLvlLbl val="0"/>
      </c:catAx>
      <c:valAx>
        <c:axId val="126313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45580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4207431990879136"/>
          <c:y val="0.28079665973698126"/>
          <c:w val="0.25792568009120864"/>
          <c:h val="5.9706870046857048E-2"/>
        </c:manualLayout>
      </c:layout>
      <c:overlay val="0"/>
      <c:txPr>
        <a:bodyPr/>
        <a:lstStyle/>
        <a:p>
          <a:pPr>
            <a:defRPr sz="1400"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2022/02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月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-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銷售量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銷售額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電商利潤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銷售額</c:v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'2月-電商每周銷售額&amp;利潤'!$C$3:$F$3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'2月-電商每周銷售額&amp;利潤'!$C$6:$F$6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v>利潤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'2月-電商每周銷售額&amp;利潤'!$C$3:$F$3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'2月-電商每周銷售額&amp;利潤'!$C$7:$F$7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457856"/>
        <c:axId val="126315328"/>
      </c:barChart>
      <c:lineChart>
        <c:grouping val="standard"/>
        <c:varyColors val="0"/>
        <c:ser>
          <c:idx val="0"/>
          <c:order val="0"/>
          <c:tx>
            <c:v>銷售量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1.422016718323597E-2"/>
                  <c:y val="-1.2827714997980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3458948300117167E-2"/>
                  <c:y val="-6.401230639958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6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'2月-電商每周銷售額&amp;利潤'!$C$3:$F$3</c:f>
              <c:strCache>
                <c:ptCount val="4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</c:strCache>
            </c:strRef>
          </c:cat>
          <c:val>
            <c:numRef>
              <c:f>'2月-電商每周銷售額&amp;利潤'!$C$5:$F$5</c:f>
              <c:numCache>
                <c:formatCode>General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58368"/>
        <c:axId val="126315904"/>
      </c:lineChart>
      <c:catAx>
        <c:axId val="12645785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6315328"/>
        <c:crosses val="autoZero"/>
        <c:auto val="1"/>
        <c:lblAlgn val="ctr"/>
        <c:lblOffset val="100"/>
        <c:noMultiLvlLbl val="0"/>
      </c:catAx>
      <c:valAx>
        <c:axId val="12631532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6457856"/>
        <c:crosses val="autoZero"/>
        <c:crossBetween val="between"/>
        <c:majorUnit val="5000"/>
      </c:valAx>
      <c:valAx>
        <c:axId val="12631590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6458368"/>
        <c:crosses val="max"/>
        <c:crossBetween val="between"/>
        <c:majorUnit val="40"/>
      </c:valAx>
      <c:catAx>
        <c:axId val="126458368"/>
        <c:scaling>
          <c:orientation val="minMax"/>
        </c:scaling>
        <c:delete val="1"/>
        <c:axPos val="b"/>
        <c:majorTickMark val="out"/>
        <c:minorTickMark val="none"/>
        <c:tickLblPos val="nextTo"/>
        <c:crossAx val="126315904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34149668591943905"/>
          <c:y val="0.11484968134206072"/>
          <c:w val="0.2950858890149014"/>
          <c:h val="4.2871573809041566E-2"/>
        </c:manualLayout>
      </c:layout>
      <c:overlay val="0"/>
      <c:txPr>
        <a:bodyPr/>
        <a:lstStyle/>
        <a:p>
          <a:pPr>
            <a:defRPr>
              <a:latin typeface="華康中特圓體" panose="020F0809000000000000" pitchFamily="49" charset="-120"/>
              <a:ea typeface="華康中特圓體" panose="020F08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12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月</a:t>
            </a: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-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加盟店總銷售額</a:t>
            </a: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銷售量</a:t>
            </a:r>
            <a:endParaRPr lang="en-US" altLang="zh-TW">
              <a:latin typeface="華康中黑體" panose="020B0509000000000000" pitchFamily="49" charset="-120"/>
              <a:ea typeface="華康中黑體" panose="020B0509000000000000" pitchFamily="49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64519866051228"/>
          <c:y val="0.13648293963254593"/>
          <c:w val="0.75506822336863066"/>
          <c:h val="0.78732820466407216"/>
        </c:manualLayout>
      </c:layout>
      <c:barChart>
        <c:barDir val="col"/>
        <c:grouping val="clustered"/>
        <c:varyColors val="0"/>
        <c:ser>
          <c:idx val="0"/>
          <c:order val="0"/>
          <c:tx>
            <c:v>銷售量</c:v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0.159664673928122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1">
                    <a:solidFill>
                      <a:srgbClr val="FF0000"/>
                    </a:solidFill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'12月-加盟店每周統計'!$A$3:$A$12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'12月-加盟店每周統計'!$T$3:$T$12</c:f>
              <c:numCache>
                <c:formatCode>General</c:formatCode>
                <c:ptCount val="10"/>
                <c:pt idx="0">
                  <c:v>121</c:v>
                </c:pt>
                <c:pt idx="1">
                  <c:v>43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13</c:v>
                </c:pt>
                <c:pt idx="6">
                  <c:v>33</c:v>
                </c:pt>
                <c:pt idx="7">
                  <c:v>13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61856"/>
        <c:axId val="126318784"/>
      </c:barChart>
      <c:lineChart>
        <c:grouping val="standard"/>
        <c:varyColors val="0"/>
        <c:ser>
          <c:idx val="1"/>
          <c:order val="1"/>
          <c:tx>
            <c:v>銷售額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1.0246912335118041E-2"/>
                  <c:y val="-4.3987953244395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1">
                    <a:solidFill>
                      <a:schemeClr val="tx1"/>
                    </a:solidFill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'12月-加盟店每周統計'!$A$3:$A$12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'12月-加盟店每周統計'!$U$3:$U$12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56832"/>
        <c:axId val="126318208"/>
      </c:lineChart>
      <c:catAx>
        <c:axId val="12645683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26318208"/>
        <c:crosses val="autoZero"/>
        <c:auto val="1"/>
        <c:lblAlgn val="ctr"/>
        <c:lblOffset val="100"/>
        <c:noMultiLvlLbl val="0"/>
      </c:catAx>
      <c:valAx>
        <c:axId val="126318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26456832"/>
        <c:crosses val="autoZero"/>
        <c:crossBetween val="between"/>
      </c:valAx>
      <c:valAx>
        <c:axId val="126318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27161856"/>
        <c:crosses val="max"/>
        <c:crossBetween val="between"/>
      </c:valAx>
      <c:catAx>
        <c:axId val="127161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2631878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607908045977011"/>
          <c:y val="9.9756840739735116E-3"/>
          <c:w val="7.5329559408083654E-2"/>
          <c:h val="8.179010689257743E-2"/>
        </c:manualLayout>
      </c:layout>
      <c:overlay val="0"/>
      <c:txPr>
        <a:bodyPr/>
        <a:lstStyle/>
        <a:p>
          <a:pPr>
            <a:defRPr>
              <a:latin typeface="華康中黑體" panose="020B0509000000000000" pitchFamily="49" charset="-120"/>
              <a:ea typeface="華康中黑體" panose="020B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12/28(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二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)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各加盟店社群人數統計</a:t>
            </a:r>
            <a:endParaRPr lang="en-US" altLang="zh-TW" b="0">
              <a:latin typeface="華康中特圓體" panose="020F0809000000000000" pitchFamily="49" charset="-120"/>
              <a:ea typeface="華康中特圓體" panose="020F0809000000000000" pitchFamily="49" charset="-120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800" b="1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'12月-Line社群人數統計'!$A$12:$A$21</c:f>
              <c:strCache>
                <c:ptCount val="10"/>
                <c:pt idx="0">
                  <c:v>屏東萬隆</c:v>
                </c:pt>
                <c:pt idx="1">
                  <c:v>岡山岡燕</c:v>
                </c:pt>
                <c:pt idx="2">
                  <c:v>鹿港中正</c:v>
                </c:pt>
                <c:pt idx="3">
                  <c:v>楊梅金山</c:v>
                </c:pt>
                <c:pt idx="4">
                  <c:v>新竹建功</c:v>
                </c:pt>
                <c:pt idx="5">
                  <c:v>八德陸光</c:v>
                </c:pt>
                <c:pt idx="6">
                  <c:v>新竹龍山</c:v>
                </c:pt>
                <c:pt idx="7">
                  <c:v>台中陝西</c:v>
                </c:pt>
                <c:pt idx="8">
                  <c:v>潮州南進</c:v>
                </c:pt>
                <c:pt idx="9">
                  <c:v>台中松竹</c:v>
                </c:pt>
              </c:strCache>
            </c:strRef>
          </c:cat>
          <c:val>
            <c:numRef>
              <c:f>'12月-Line社群人數統計'!$F$12:$F$21</c:f>
              <c:numCache>
                <c:formatCode>0_);[Red]\(0\)</c:formatCode>
                <c:ptCount val="10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26</c:v>
                </c:pt>
                <c:pt idx="4">
                  <c:v>29</c:v>
                </c:pt>
                <c:pt idx="5">
                  <c:v>38</c:v>
                </c:pt>
                <c:pt idx="6">
                  <c:v>43</c:v>
                </c:pt>
                <c:pt idx="7">
                  <c:v>54</c:v>
                </c:pt>
                <c:pt idx="8">
                  <c:v>69</c:v>
                </c:pt>
                <c:pt idx="9">
                  <c:v>84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7162880"/>
        <c:axId val="94667904"/>
      </c:barChart>
      <c:catAx>
        <c:axId val="12716288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105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94667904"/>
        <c:crosses val="autoZero"/>
        <c:auto val="1"/>
        <c:lblAlgn val="ctr"/>
        <c:lblOffset val="100"/>
        <c:noMultiLvlLbl val="0"/>
      </c:catAx>
      <c:valAx>
        <c:axId val="94667904"/>
        <c:scaling>
          <c:orientation val="minMax"/>
        </c:scaling>
        <c:delete val="0"/>
        <c:axPos val="b"/>
        <c:majorGridlines/>
        <c:numFmt formatCode="0_);[Red]\(0\)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7162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11/29(</a:t>
            </a:r>
            <a:r>
              <a:rPr lang="zh-TW" altLang="en-US"/>
              <a:t>一</a:t>
            </a:r>
            <a:r>
              <a:rPr lang="en-US" altLang="zh-TW"/>
              <a:t>)~12/28(</a:t>
            </a:r>
            <a:r>
              <a:rPr lang="zh-TW" altLang="en-US"/>
              <a:t>二</a:t>
            </a:r>
            <a:r>
              <a:rPr lang="en-US" altLang="zh-TW"/>
              <a:t>)</a:t>
            </a:r>
            <a:r>
              <a:rPr lang="zh-TW" altLang="en-US"/>
              <a:t>社群總人數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txPr>
              <a:bodyPr/>
              <a:lstStyle/>
              <a:p>
                <a:pPr>
                  <a:defRPr sz="1400" b="0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'12月-Line社群人數統計'!$B$1:$F$1</c:f>
              <c:numCache>
                <c:formatCode>yyyy/m/d;@</c:formatCode>
                <c:ptCount val="5"/>
                <c:pt idx="0">
                  <c:v>44529</c:v>
                </c:pt>
                <c:pt idx="1">
                  <c:v>44536</c:v>
                </c:pt>
                <c:pt idx="2">
                  <c:v>44543</c:v>
                </c:pt>
                <c:pt idx="3">
                  <c:v>44550</c:v>
                </c:pt>
                <c:pt idx="4">
                  <c:v>44557</c:v>
                </c:pt>
              </c:numCache>
            </c:numRef>
          </c:cat>
          <c:val>
            <c:numRef>
              <c:f>'12月-Line社群人數統計'!$B$23:$F$23</c:f>
              <c:numCache>
                <c:formatCode>0_);[Red]\(0\)</c:formatCode>
                <c:ptCount val="5"/>
                <c:pt idx="0">
                  <c:v>356</c:v>
                </c:pt>
                <c:pt idx="1">
                  <c:v>401</c:v>
                </c:pt>
                <c:pt idx="2">
                  <c:v>423</c:v>
                </c:pt>
                <c:pt idx="3">
                  <c:v>458</c:v>
                </c:pt>
                <c:pt idx="4">
                  <c:v>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09568"/>
        <c:axId val="94669056"/>
      </c:lineChart>
      <c:dateAx>
        <c:axId val="129709568"/>
        <c:scaling>
          <c:orientation val="minMax"/>
        </c:scaling>
        <c:delete val="0"/>
        <c:axPos val="b"/>
        <c:numFmt formatCode="yyyy/m/d;@" sourceLinked="1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94669056"/>
        <c:crossesAt val="300"/>
        <c:auto val="1"/>
        <c:lblOffset val="100"/>
        <c:baseTimeUnit val="days"/>
        <c:majorUnit val="7"/>
        <c:majorTimeUnit val="days"/>
      </c:dateAx>
      <c:valAx>
        <c:axId val="94669056"/>
        <c:scaling>
          <c:orientation val="minMax"/>
          <c:min val="300"/>
        </c:scaling>
        <c:delete val="0"/>
        <c:axPos val="l"/>
        <c:majorGridlines/>
        <c:numFmt formatCode="0_);[Red]\(0\)" sourceLinked="1"/>
        <c:majorTickMark val="none"/>
        <c:minorTickMark val="none"/>
        <c:tickLblPos val="nextTo"/>
        <c:txPr>
          <a:bodyPr anchor="ctr" anchorCtr="1"/>
          <a:lstStyle/>
          <a:p>
            <a:pPr>
              <a:defRPr sz="1400"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29709568"/>
        <c:crosses val="autoZero"/>
        <c:crossBetween val="midCat"/>
        <c:majorUnit val="15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最熱銷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'1222-明星&amp;低銷商品(1)'!$D$1</c:f>
              <c:strCache>
                <c:ptCount val="1"/>
                <c:pt idx="0">
                  <c:v>銷售數量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'1222-明星&amp;低銷商品(1)'!$B$2:$B$6</c:f>
              <c:strCache>
                <c:ptCount val="5"/>
                <c:pt idx="0">
                  <c:v>白醬培根義大利麵</c:v>
                </c:pt>
                <c:pt idx="1">
                  <c:v>藥燉排骨</c:v>
                </c:pt>
                <c:pt idx="2">
                  <c:v>椒鹽海苔</c:v>
                </c:pt>
                <c:pt idx="3">
                  <c:v>蒜香海苔</c:v>
                </c:pt>
                <c:pt idx="4">
                  <c:v>蘿蔔糕</c:v>
                </c:pt>
              </c:strCache>
            </c:strRef>
          </c:cat>
          <c:val>
            <c:numRef>
              <c:f>'1222-明星&amp;低銷商品(1)'!$D$2:$D$6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29710080"/>
        <c:axId val="94671360"/>
      </c:barChart>
      <c:catAx>
        <c:axId val="12971008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94671360"/>
        <c:crosses val="autoZero"/>
        <c:auto val="1"/>
        <c:lblAlgn val="ctr"/>
        <c:lblOffset val="100"/>
        <c:noMultiLvlLbl val="0"/>
      </c:catAx>
      <c:valAx>
        <c:axId val="946713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71008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最不暢銷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chemeClr val="tx2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'1222-明星&amp;低銷商品(1)'!$B$31:$B$35</c:f>
              <c:strCache>
                <c:ptCount val="5"/>
                <c:pt idx="0">
                  <c:v>黃金柚子皮果乾</c:v>
                </c:pt>
                <c:pt idx="1">
                  <c:v>紫玉Q心團子</c:v>
                </c:pt>
                <c:pt idx="2">
                  <c:v>黑豆玄米抹茶粉</c:v>
                </c:pt>
                <c:pt idx="3">
                  <c:v>香菇貢丸</c:v>
                </c:pt>
                <c:pt idx="4">
                  <c:v>水蜜桃果乾</c:v>
                </c:pt>
              </c:strCache>
            </c:strRef>
          </c:cat>
          <c:val>
            <c:numRef>
              <c:f>'1222-明星&amp;低銷商品(1)'!$D$31:$D$35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9314688"/>
        <c:axId val="94673088"/>
      </c:barChart>
      <c:catAx>
        <c:axId val="1393146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94673088"/>
        <c:crosses val="autoZero"/>
        <c:auto val="1"/>
        <c:lblAlgn val="ctr"/>
        <c:lblOffset val="100"/>
        <c:noMultiLvlLbl val="0"/>
      </c:catAx>
      <c:valAx>
        <c:axId val="946730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31468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商品價格</a:t>
            </a:r>
            <a:r>
              <a:rPr lang="en-US" altLang="zh-TW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銷售數量  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8636174728955905E-2"/>
                  <c:y val="-0.54280781321038374"/>
                </c:manualLayout>
              </c:layout>
              <c:tx>
                <c:rich>
                  <a:bodyPr/>
                  <a:lstStyle/>
                  <a:p>
                    <a:pPr>
                      <a:defRPr sz="1600">
                        <a:latin typeface="華康中黑體" panose="020B0509000000000000" pitchFamily="49" charset="-120"/>
                        <a:ea typeface="華康中黑體" panose="020B0509000000000000" pitchFamily="49" charset="-120"/>
                      </a:defRPr>
                    </a:pP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y = -0.0475x + 17.847</a:t>
                    </a:r>
                    <a:r>
                      <a:rPr lang="zh-TW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；</a:t>
                    </a: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R² = 0.1944</a:t>
                    </a:r>
                    <a:endParaRPr lang="en-US" altLang="en-US" sz="1600">
                      <a:solidFill>
                        <a:srgbClr val="FF0000"/>
                      </a:solidFill>
                      <a:latin typeface="華康中黑體" panose="020B0509000000000000" pitchFamily="49" charset="-120"/>
                      <a:ea typeface="華康中黑體" panose="020B05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'1222-明星&amp;低銷商品(1)'!$C$2:$C$35</c:f>
              <c:numCache>
                <c:formatCode>General</c:formatCode>
                <c:ptCount val="34"/>
                <c:pt idx="0">
                  <c:v>39</c:v>
                </c:pt>
                <c:pt idx="1">
                  <c:v>200</c:v>
                </c:pt>
                <c:pt idx="2">
                  <c:v>65</c:v>
                </c:pt>
                <c:pt idx="3">
                  <c:v>65</c:v>
                </c:pt>
                <c:pt idx="4">
                  <c:v>75</c:v>
                </c:pt>
                <c:pt idx="5">
                  <c:v>160</c:v>
                </c:pt>
                <c:pt idx="6">
                  <c:v>130</c:v>
                </c:pt>
                <c:pt idx="7">
                  <c:v>39</c:v>
                </c:pt>
                <c:pt idx="8">
                  <c:v>160</c:v>
                </c:pt>
                <c:pt idx="9">
                  <c:v>55</c:v>
                </c:pt>
                <c:pt idx="10">
                  <c:v>260</c:v>
                </c:pt>
                <c:pt idx="11">
                  <c:v>99</c:v>
                </c:pt>
                <c:pt idx="12">
                  <c:v>210</c:v>
                </c:pt>
                <c:pt idx="13">
                  <c:v>120</c:v>
                </c:pt>
                <c:pt idx="14">
                  <c:v>200</c:v>
                </c:pt>
                <c:pt idx="15">
                  <c:v>155</c:v>
                </c:pt>
                <c:pt idx="16">
                  <c:v>120</c:v>
                </c:pt>
                <c:pt idx="17">
                  <c:v>130</c:v>
                </c:pt>
                <c:pt idx="18">
                  <c:v>55</c:v>
                </c:pt>
                <c:pt idx="19">
                  <c:v>280</c:v>
                </c:pt>
                <c:pt idx="20">
                  <c:v>155</c:v>
                </c:pt>
                <c:pt idx="21">
                  <c:v>125</c:v>
                </c:pt>
                <c:pt idx="22">
                  <c:v>160</c:v>
                </c:pt>
                <c:pt idx="23">
                  <c:v>185</c:v>
                </c:pt>
                <c:pt idx="24">
                  <c:v>160</c:v>
                </c:pt>
                <c:pt idx="25">
                  <c:v>210</c:v>
                </c:pt>
                <c:pt idx="26">
                  <c:v>145</c:v>
                </c:pt>
                <c:pt idx="27">
                  <c:v>145</c:v>
                </c:pt>
                <c:pt idx="28">
                  <c:v>145</c:v>
                </c:pt>
                <c:pt idx="29">
                  <c:v>145</c:v>
                </c:pt>
                <c:pt idx="30">
                  <c:v>160</c:v>
                </c:pt>
                <c:pt idx="31">
                  <c:v>350</c:v>
                </c:pt>
                <c:pt idx="32">
                  <c:v>145</c:v>
                </c:pt>
                <c:pt idx="33">
                  <c:v>145</c:v>
                </c:pt>
              </c:numCache>
            </c:numRef>
          </c:xVal>
          <c:yVal>
            <c:numRef>
              <c:f>'1222-明星&amp;低銷商品(1)'!$D$2:$D$35</c:f>
              <c:numCache>
                <c:formatCode>General</c:formatCode>
                <c:ptCount val="34"/>
                <c:pt idx="0">
                  <c:v>35</c:v>
                </c:pt>
                <c:pt idx="1">
                  <c:v>25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67360"/>
        <c:axId val="141967936"/>
      </c:scatterChart>
      <c:valAx>
        <c:axId val="14196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商品價格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141967936"/>
        <c:crosses val="autoZero"/>
        <c:crossBetween val="midCat"/>
      </c:valAx>
      <c:valAx>
        <c:axId val="141967936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銷售數量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141967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最熱銷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'1227_product_sales'!$G$1</c:f>
              <c:strCache>
                <c:ptCount val="1"/>
                <c:pt idx="0">
                  <c:v>銷售數量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'1227_product_sales'!$C$2:$C$6</c:f>
              <c:strCache>
                <c:ptCount val="5"/>
                <c:pt idx="0">
                  <c:v>調理包_三杯雞</c:v>
                </c:pt>
                <c:pt idx="1">
                  <c:v>調理包_紅燒牛南</c:v>
                </c:pt>
                <c:pt idx="2">
                  <c:v>白醬培根義大利麵</c:v>
                </c:pt>
                <c:pt idx="3">
                  <c:v>調理包_黑胡椒豬肉</c:v>
                </c:pt>
                <c:pt idx="4">
                  <c:v>藥燉排骨</c:v>
                </c:pt>
              </c:strCache>
            </c:strRef>
          </c:cat>
          <c:val>
            <c:numRef>
              <c:f>'1227_product_sales'!$G$2:$G$6</c:f>
              <c:numCache>
                <c:formatCode>General</c:formatCode>
                <c:ptCount val="5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29</c:v>
                </c:pt>
                <c:pt idx="4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5458048"/>
        <c:axId val="141970816"/>
      </c:barChart>
      <c:catAx>
        <c:axId val="1154580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41970816"/>
        <c:crosses val="autoZero"/>
        <c:auto val="1"/>
        <c:lblAlgn val="ctr"/>
        <c:lblOffset val="100"/>
        <c:noMultiLvlLbl val="0"/>
      </c:catAx>
      <c:valAx>
        <c:axId val="1419708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45804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最不暢銷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chemeClr val="tx2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'1227_product_sales'!$C$36:$C$40</c:f>
              <c:strCache>
                <c:ptCount val="5"/>
                <c:pt idx="0">
                  <c:v>黃金柚子皮果乾</c:v>
                </c:pt>
                <c:pt idx="1">
                  <c:v>紫玉Q心團子</c:v>
                </c:pt>
                <c:pt idx="2">
                  <c:v>黑豆玄米抹茶粉</c:v>
                </c:pt>
                <c:pt idx="3">
                  <c:v>香菇貢丸</c:v>
                </c:pt>
                <c:pt idx="4">
                  <c:v>水蜜桃果乾</c:v>
                </c:pt>
              </c:strCache>
            </c:strRef>
          </c:cat>
          <c:val>
            <c:numRef>
              <c:f>'1227_product_sales'!$G$36:$G$40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5459584"/>
        <c:axId val="141972544"/>
      </c:barChart>
      <c:catAx>
        <c:axId val="1154595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41972544"/>
        <c:crosses val="autoZero"/>
        <c:auto val="1"/>
        <c:lblAlgn val="ctr"/>
        <c:lblOffset val="100"/>
        <c:noMultiLvlLbl val="0"/>
      </c:catAx>
      <c:valAx>
        <c:axId val="1419725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545958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商品價格</a:t>
            </a:r>
            <a:r>
              <a:rPr lang="en-US" altLang="zh-TW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銷售數量  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8636174728955905E-2"/>
                  <c:y val="-0.54280781321038374"/>
                </c:manualLayout>
              </c:layout>
              <c:tx>
                <c:rich>
                  <a:bodyPr/>
                  <a:lstStyle/>
                  <a:p>
                    <a:pPr>
                      <a:defRPr sz="1600">
                        <a:latin typeface="華康中黑體" panose="020B0509000000000000" pitchFamily="49" charset="-120"/>
                        <a:ea typeface="華康中黑體" panose="020B0509000000000000" pitchFamily="49" charset="-120"/>
                      </a:defRPr>
                    </a:pP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y = -0.0475x + 17.847</a:t>
                    </a:r>
                    <a:r>
                      <a:rPr lang="zh-TW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；</a:t>
                    </a: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R² = 0.1944</a:t>
                    </a:r>
                    <a:endParaRPr lang="en-US" altLang="en-US" sz="1600">
                      <a:solidFill>
                        <a:srgbClr val="FF0000"/>
                      </a:solidFill>
                      <a:latin typeface="華康中黑體" panose="020B0509000000000000" pitchFamily="49" charset="-120"/>
                      <a:ea typeface="華康中黑體" panose="020B05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'1227_product_sales'!$F$2:$F$35</c:f>
              <c:numCache>
                <c:formatCode>General</c:formatCode>
                <c:ptCount val="34"/>
                <c:pt idx="0">
                  <c:v>55</c:v>
                </c:pt>
                <c:pt idx="1">
                  <c:v>55</c:v>
                </c:pt>
                <c:pt idx="2">
                  <c:v>39</c:v>
                </c:pt>
                <c:pt idx="3">
                  <c:v>55</c:v>
                </c:pt>
                <c:pt idx="4">
                  <c:v>200</c:v>
                </c:pt>
                <c:pt idx="5">
                  <c:v>65</c:v>
                </c:pt>
                <c:pt idx="6">
                  <c:v>65</c:v>
                </c:pt>
                <c:pt idx="7">
                  <c:v>75</c:v>
                </c:pt>
                <c:pt idx="8">
                  <c:v>160</c:v>
                </c:pt>
                <c:pt idx="9">
                  <c:v>130</c:v>
                </c:pt>
                <c:pt idx="10">
                  <c:v>39</c:v>
                </c:pt>
                <c:pt idx="11">
                  <c:v>130</c:v>
                </c:pt>
                <c:pt idx="12">
                  <c:v>160</c:v>
                </c:pt>
                <c:pt idx="13">
                  <c:v>55</c:v>
                </c:pt>
                <c:pt idx="14">
                  <c:v>260</c:v>
                </c:pt>
                <c:pt idx="15">
                  <c:v>99</c:v>
                </c:pt>
                <c:pt idx="16">
                  <c:v>210</c:v>
                </c:pt>
                <c:pt idx="17">
                  <c:v>120</c:v>
                </c:pt>
                <c:pt idx="18">
                  <c:v>200</c:v>
                </c:pt>
                <c:pt idx="19">
                  <c:v>155</c:v>
                </c:pt>
                <c:pt idx="20">
                  <c:v>120</c:v>
                </c:pt>
                <c:pt idx="21">
                  <c:v>130</c:v>
                </c:pt>
                <c:pt idx="22">
                  <c:v>55</c:v>
                </c:pt>
                <c:pt idx="23">
                  <c:v>280</c:v>
                </c:pt>
                <c:pt idx="24">
                  <c:v>130</c:v>
                </c:pt>
                <c:pt idx="25">
                  <c:v>155</c:v>
                </c:pt>
                <c:pt idx="26">
                  <c:v>125</c:v>
                </c:pt>
                <c:pt idx="27">
                  <c:v>160</c:v>
                </c:pt>
                <c:pt idx="28">
                  <c:v>185</c:v>
                </c:pt>
                <c:pt idx="29">
                  <c:v>160</c:v>
                </c:pt>
                <c:pt idx="30">
                  <c:v>210</c:v>
                </c:pt>
                <c:pt idx="31">
                  <c:v>145</c:v>
                </c:pt>
                <c:pt idx="32">
                  <c:v>145</c:v>
                </c:pt>
                <c:pt idx="33">
                  <c:v>145</c:v>
                </c:pt>
              </c:numCache>
            </c:numRef>
          </c:xVal>
          <c:yVal>
            <c:numRef>
              <c:f>'1227_product_sales'!$G$2:$G$35</c:f>
              <c:numCache>
                <c:formatCode>General</c:formatCode>
                <c:ptCount val="34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29</c:v>
                </c:pt>
                <c:pt idx="4">
                  <c:v>25</c:v>
                </c:pt>
                <c:pt idx="5">
                  <c:v>22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74272"/>
        <c:axId val="141974848"/>
      </c:scatterChart>
      <c:valAx>
        <c:axId val="141974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商品價格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141974848"/>
        <c:crosses val="autoZero"/>
        <c:crossBetween val="midCat"/>
      </c:valAx>
      <c:valAx>
        <c:axId val="141974848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銷售數量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141974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</xdr:row>
      <xdr:rowOff>171450</xdr:rowOff>
    </xdr:from>
    <xdr:to>
      <xdr:col>9</xdr:col>
      <xdr:colOff>390525</xdr:colOff>
      <xdr:row>4</xdr:row>
      <xdr:rowOff>171450</xdr:rowOff>
    </xdr:to>
    <xdr:sp macro="" textlink="">
      <xdr:nvSpPr>
        <xdr:cNvPr id="2" name="加號 1"/>
        <xdr:cNvSpPr/>
      </xdr:nvSpPr>
      <xdr:spPr>
        <a:xfrm>
          <a:off x="4733925" y="381000"/>
          <a:ext cx="600075" cy="628650"/>
        </a:xfrm>
        <a:prstGeom prst="mathPlus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247650</xdr:colOff>
      <xdr:row>33</xdr:row>
      <xdr:rowOff>9524</xdr:rowOff>
    </xdr:from>
    <xdr:to>
      <xdr:col>19</xdr:col>
      <xdr:colOff>148275</xdr:colOff>
      <xdr:row>52</xdr:row>
      <xdr:rowOff>95249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16</xdr:row>
      <xdr:rowOff>66675</xdr:rowOff>
    </xdr:from>
    <xdr:to>
      <xdr:col>14</xdr:col>
      <xdr:colOff>466725</xdr:colOff>
      <xdr:row>35</xdr:row>
      <xdr:rowOff>40005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257174</xdr:colOff>
      <xdr:row>0</xdr:row>
      <xdr:rowOff>85725</xdr:rowOff>
    </xdr:from>
    <xdr:to>
      <xdr:col>14</xdr:col>
      <xdr:colOff>439737</xdr:colOff>
      <xdr:row>16</xdr:row>
      <xdr:rowOff>42863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47625</xdr:rowOff>
    </xdr:from>
    <xdr:to>
      <xdr:col>5</xdr:col>
      <xdr:colOff>1248210</xdr:colOff>
      <xdr:row>26</xdr:row>
      <xdr:rowOff>85725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14286</xdr:rowOff>
    </xdr:from>
    <xdr:to>
      <xdr:col>16</xdr:col>
      <xdr:colOff>485776</xdr:colOff>
      <xdr:row>46</xdr:row>
      <xdr:rowOff>132397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142874</xdr:colOff>
      <xdr:row>0</xdr:row>
      <xdr:rowOff>85725</xdr:rowOff>
    </xdr:from>
    <xdr:to>
      <xdr:col>17</xdr:col>
      <xdr:colOff>285749</xdr:colOff>
      <xdr:row>19</xdr:row>
      <xdr:rowOff>152400</xdr:rowOff>
    </xdr:to>
    <xdr:sp macro="" textlink="">
      <xdr:nvSpPr>
        <xdr:cNvPr id="3" name="圓角矩形 2"/>
        <xdr:cNvSpPr/>
      </xdr:nvSpPr>
      <xdr:spPr>
        <a:xfrm>
          <a:off x="7153274" y="85725"/>
          <a:ext cx="6315075" cy="4362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一</a:t>
          </a:r>
          <a:r>
            <a:rPr lang="en-US" altLang="zh-TW" sz="1800"/>
            <a:t>):</a:t>
          </a:r>
          <a:r>
            <a:rPr lang="zh-TW" altLang="en-US" sz="1800"/>
            <a:t> </a:t>
          </a:r>
          <a:endParaRPr lang="en-US" altLang="zh-TW" sz="1800"/>
        </a:p>
        <a:p>
          <a:pPr algn="l"/>
          <a:r>
            <a:rPr lang="zh-TW" altLang="en-US" sz="1800"/>
            <a:t>將所有有庫存的商品提供庫存數量</a:t>
          </a:r>
          <a:r>
            <a:rPr lang="en-US" altLang="zh-TW" sz="1800"/>
            <a:t>&amp;</a:t>
          </a:r>
          <a:r>
            <a:rPr lang="zh-TW" altLang="en-US" sz="1800"/>
            <a:t>進價，讓店長自行決定要不要在自己群內販售。</a:t>
          </a:r>
          <a:endParaRPr lang="en-US" altLang="zh-TW" sz="1800"/>
        </a:p>
        <a:p>
          <a:pPr algn="l"/>
          <a:endParaRPr lang="en-US" altLang="zh-TW" sz="1800"/>
        </a:p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二</a:t>
          </a:r>
          <a:r>
            <a:rPr lang="en-US" altLang="zh-TW" sz="1800"/>
            <a:t>):</a:t>
          </a:r>
        </a:p>
        <a:p>
          <a:pPr algn="l"/>
          <a:r>
            <a:rPr lang="zh-TW" altLang="en-US" sz="1800"/>
            <a:t>挑選</a:t>
          </a:r>
          <a:r>
            <a:rPr lang="en-US" altLang="zh-TW" sz="1800"/>
            <a:t>1</a:t>
          </a:r>
          <a:r>
            <a:rPr lang="zh-TW" altLang="en-US" sz="1800"/>
            <a:t>家銷售好的店家，讓店長在假日限時促銷這些庫存品，需更改末端售價，且進價需做折讓給店長。</a:t>
          </a:r>
          <a:endParaRPr lang="en-US" altLang="zh-TW" sz="1800"/>
        </a:p>
        <a:p>
          <a:pPr algn="l"/>
          <a:endParaRPr lang="en-US" altLang="zh-TW" sz="1800"/>
        </a:p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三</a:t>
          </a:r>
          <a:r>
            <a:rPr lang="en-US" altLang="zh-TW" sz="1800"/>
            <a:t>):</a:t>
          </a:r>
        </a:p>
        <a:p>
          <a:pPr algn="l"/>
          <a:r>
            <a:rPr lang="zh-TW" altLang="en-US" sz="1800"/>
            <a:t>讓所有店家在假日限時限量促銷這些庫存品，需更改末端售價，且進價需做折讓給店長，但基於庫存品是限量的，所以客人下單不見得能購買，店長付款時間改為確定數量後付款。</a:t>
          </a:r>
        </a:p>
        <a:p>
          <a:pPr algn="l"/>
          <a:endParaRPr lang="en-US" altLang="zh-TW" sz="1800"/>
        </a:p>
        <a:p>
          <a:pPr algn="l"/>
          <a:endParaRPr lang="zh-TW" altLang="en-US" sz="1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45</xdr:row>
      <xdr:rowOff>80961</xdr:rowOff>
    </xdr:from>
    <xdr:to>
      <xdr:col>7</xdr:col>
      <xdr:colOff>466725</xdr:colOff>
      <xdr:row>66</xdr:row>
      <xdr:rowOff>195262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19048</xdr:colOff>
      <xdr:row>25</xdr:row>
      <xdr:rowOff>33336</xdr:rowOff>
    </xdr:from>
    <xdr:to>
      <xdr:col>7</xdr:col>
      <xdr:colOff>371474</xdr:colOff>
      <xdr:row>45</xdr:row>
      <xdr:rowOff>14287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66</xdr:row>
      <xdr:rowOff>152400</xdr:rowOff>
    </xdr:from>
    <xdr:to>
      <xdr:col>10</xdr:col>
      <xdr:colOff>306499</xdr:colOff>
      <xdr:row>90</xdr:row>
      <xdr:rowOff>114300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90</xdr:row>
      <xdr:rowOff>85725</xdr:rowOff>
    </xdr:from>
    <xdr:to>
      <xdr:col>8</xdr:col>
      <xdr:colOff>282575</xdr:colOff>
      <xdr:row>109</xdr:row>
      <xdr:rowOff>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4</xdr:row>
      <xdr:rowOff>276225</xdr:rowOff>
    </xdr:from>
    <xdr:to>
      <xdr:col>17</xdr:col>
      <xdr:colOff>285750</xdr:colOff>
      <xdr:row>16</xdr:row>
      <xdr:rowOff>76200</xdr:rowOff>
    </xdr:to>
    <xdr:sp macro="" textlink="">
      <xdr:nvSpPr>
        <xdr:cNvPr id="4" name="矩形 3"/>
        <xdr:cNvSpPr/>
      </xdr:nvSpPr>
      <xdr:spPr>
        <a:xfrm>
          <a:off x="13096875" y="1514475"/>
          <a:ext cx="2228850" cy="3686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800">
              <a:solidFill>
                <a:schemeClr val="tx1"/>
              </a:solidFill>
            </a:rPr>
            <a:t>a:</a:t>
          </a:r>
          <a:r>
            <a:rPr lang="zh-TW" altLang="en-US" sz="1800">
              <a:solidFill>
                <a:schemeClr val="tx1"/>
              </a:solidFill>
            </a:rPr>
            <a:t>家常菜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b:</a:t>
          </a:r>
          <a:r>
            <a:rPr lang="zh-TW" altLang="en-US" sz="1800">
              <a:solidFill>
                <a:schemeClr val="tx1"/>
              </a:solidFill>
            </a:rPr>
            <a:t>零食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c:</a:t>
          </a:r>
          <a:r>
            <a:rPr lang="zh-TW" altLang="en-US" sz="1800">
              <a:solidFill>
                <a:schemeClr val="tx1"/>
              </a:solidFill>
            </a:rPr>
            <a:t>即食品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d:</a:t>
          </a:r>
          <a:r>
            <a:rPr lang="zh-TW" altLang="en-US" sz="1800">
              <a:solidFill>
                <a:schemeClr val="tx1"/>
              </a:solidFill>
            </a:rPr>
            <a:t>沖泡飲品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e:</a:t>
          </a:r>
          <a:r>
            <a:rPr lang="zh-TW" altLang="en-US" sz="1800">
              <a:solidFill>
                <a:schemeClr val="tx1"/>
              </a:solidFill>
            </a:rPr>
            <a:t>加工食品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f:</a:t>
          </a:r>
          <a:r>
            <a:rPr lang="zh-TW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日常用品</a:t>
          </a:r>
          <a:endParaRPr lang="en-US" altLang="zh-TW" sz="1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100"/>
        </a:p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110</xdr:row>
      <xdr:rowOff>185735</xdr:rowOff>
    </xdr:from>
    <xdr:to>
      <xdr:col>9</xdr:col>
      <xdr:colOff>314325</xdr:colOff>
      <xdr:row>136</xdr:row>
      <xdr:rowOff>115250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59</xdr:row>
      <xdr:rowOff>161925</xdr:rowOff>
    </xdr:from>
    <xdr:to>
      <xdr:col>15</xdr:col>
      <xdr:colOff>314325</xdr:colOff>
      <xdr:row>83</xdr:row>
      <xdr:rowOff>123825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90</xdr:row>
      <xdr:rowOff>85725</xdr:rowOff>
    </xdr:from>
    <xdr:to>
      <xdr:col>15</xdr:col>
      <xdr:colOff>0</xdr:colOff>
      <xdr:row>109</xdr:row>
      <xdr:rowOff>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61</xdr:row>
      <xdr:rowOff>66675</xdr:rowOff>
    </xdr:from>
    <xdr:to>
      <xdr:col>7</xdr:col>
      <xdr:colOff>619125</xdr:colOff>
      <xdr:row>78</xdr:row>
      <xdr:rowOff>190500</xdr:rowOff>
    </xdr:to>
    <xdr:sp macro="" textlink="">
      <xdr:nvSpPr>
        <xdr:cNvPr id="4" name="矩形 3"/>
        <xdr:cNvSpPr/>
      </xdr:nvSpPr>
      <xdr:spPr>
        <a:xfrm>
          <a:off x="5667375" y="17821275"/>
          <a:ext cx="2771775" cy="3686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800">
              <a:solidFill>
                <a:schemeClr val="tx1"/>
              </a:solidFill>
            </a:rPr>
            <a:t>a:</a:t>
          </a:r>
          <a:r>
            <a:rPr lang="zh-TW" altLang="en-US" sz="1800">
              <a:solidFill>
                <a:schemeClr val="tx1"/>
              </a:solidFill>
            </a:rPr>
            <a:t>家常菜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b:</a:t>
          </a:r>
          <a:r>
            <a:rPr lang="zh-TW" altLang="en-US" sz="1800">
              <a:solidFill>
                <a:schemeClr val="tx1"/>
              </a:solidFill>
            </a:rPr>
            <a:t>零食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c:</a:t>
          </a:r>
          <a:r>
            <a:rPr lang="zh-TW" altLang="en-US" sz="1800">
              <a:solidFill>
                <a:schemeClr val="tx1"/>
              </a:solidFill>
            </a:rPr>
            <a:t>即食品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d:</a:t>
          </a:r>
          <a:r>
            <a:rPr lang="zh-TW" altLang="en-US" sz="1800">
              <a:solidFill>
                <a:schemeClr val="tx1"/>
              </a:solidFill>
            </a:rPr>
            <a:t>沖泡飲品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e:</a:t>
          </a:r>
          <a:r>
            <a:rPr lang="zh-TW" altLang="en-US" sz="1800">
              <a:solidFill>
                <a:schemeClr val="tx1"/>
              </a:solidFill>
            </a:rPr>
            <a:t>加工食品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f:</a:t>
          </a:r>
          <a:r>
            <a:rPr lang="zh-TW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日常用品</a:t>
          </a:r>
          <a:endParaRPr lang="en-US" altLang="zh-TW" sz="1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100"/>
        </a:p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110</xdr:row>
      <xdr:rowOff>185735</xdr:rowOff>
    </xdr:from>
    <xdr:to>
      <xdr:col>15</xdr:col>
      <xdr:colOff>0</xdr:colOff>
      <xdr:row>136</xdr:row>
      <xdr:rowOff>115250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>
      <selection activeCell="P14" sqref="P14"/>
    </sheetView>
  </sheetViews>
  <sheetFormatPr defaultRowHeight="16.5" x14ac:dyDescent="0.25"/>
  <cols>
    <col min="1" max="2" width="5.5" bestFit="1" customWidth="1"/>
    <col min="3" max="4" width="11.625" bestFit="1" customWidth="1"/>
    <col min="5" max="5" width="9.5" bestFit="1" customWidth="1"/>
    <col min="6" max="6" width="11.625" bestFit="1" customWidth="1"/>
    <col min="7" max="7" width="11.875" bestFit="1" customWidth="1"/>
    <col min="8" max="9" width="11.625" bestFit="1" customWidth="1"/>
    <col min="10" max="10" width="14.875" bestFit="1" customWidth="1"/>
    <col min="11" max="11" width="15.375" bestFit="1" customWidth="1"/>
    <col min="12" max="12" width="11.875" bestFit="1" customWidth="1"/>
    <col min="13" max="13" width="12.375" bestFit="1" customWidth="1"/>
    <col min="14" max="14" width="11.625" bestFit="1" customWidth="1"/>
    <col min="15" max="15" width="9.5" bestFit="1" customWidth="1"/>
    <col min="16" max="16" width="11.625" bestFit="1" customWidth="1"/>
    <col min="17" max="23" width="9.5" bestFit="1" customWidth="1"/>
  </cols>
  <sheetData>
    <row r="1" spans="1:18" s="9" customFormat="1" ht="17.25" thickBot="1" x14ac:dyDescent="0.3">
      <c r="A1" s="121" t="s">
        <v>38</v>
      </c>
      <c r="B1" s="122"/>
      <c r="C1" s="122"/>
      <c r="D1" s="122"/>
      <c r="E1" s="122"/>
      <c r="F1" s="122"/>
      <c r="G1" s="122"/>
      <c r="H1" s="123"/>
      <c r="I1" s="8"/>
      <c r="K1" s="124" t="s">
        <v>37</v>
      </c>
      <c r="L1" s="125"/>
      <c r="M1" s="125"/>
      <c r="N1" s="125"/>
      <c r="O1" s="125"/>
      <c r="P1" s="125"/>
      <c r="Q1" s="125"/>
      <c r="R1" s="126"/>
    </row>
    <row r="2" spans="1:18" s="1" customFormat="1" x14ac:dyDescent="0.25">
      <c r="A2" s="21" t="s">
        <v>3</v>
      </c>
      <c r="B2" s="22" t="s">
        <v>4</v>
      </c>
      <c r="C2" s="22" t="s">
        <v>5</v>
      </c>
      <c r="D2" s="23" t="s">
        <v>6</v>
      </c>
      <c r="E2" s="21" t="s">
        <v>7</v>
      </c>
      <c r="F2" s="23" t="s">
        <v>8</v>
      </c>
      <c r="G2" s="21" t="s">
        <v>53</v>
      </c>
      <c r="H2" s="23" t="s">
        <v>54</v>
      </c>
      <c r="K2" s="21" t="s">
        <v>3</v>
      </c>
      <c r="L2" s="22" t="s">
        <v>4</v>
      </c>
      <c r="M2" s="22" t="s">
        <v>5</v>
      </c>
      <c r="N2" s="23" t="s">
        <v>6</v>
      </c>
      <c r="O2" s="21" t="s">
        <v>7</v>
      </c>
      <c r="P2" s="23" t="s">
        <v>8</v>
      </c>
      <c r="Q2" s="21" t="s">
        <v>53</v>
      </c>
      <c r="R2" s="23" t="s">
        <v>54</v>
      </c>
    </row>
    <row r="3" spans="1:18" s="1" customFormat="1" x14ac:dyDescent="0.25">
      <c r="A3" s="24">
        <v>2021</v>
      </c>
      <c r="B3" s="19" t="s">
        <v>2</v>
      </c>
      <c r="C3" s="19" t="s">
        <v>0</v>
      </c>
      <c r="D3" s="25" t="s">
        <v>1</v>
      </c>
      <c r="E3" s="24">
        <v>12834</v>
      </c>
      <c r="F3" s="25"/>
      <c r="G3" s="24">
        <v>4104</v>
      </c>
      <c r="H3" s="25"/>
      <c r="K3" s="24">
        <v>2021</v>
      </c>
      <c r="L3" s="19" t="s">
        <v>2</v>
      </c>
      <c r="M3" s="19" t="s">
        <v>0</v>
      </c>
      <c r="N3" s="25" t="s">
        <v>1</v>
      </c>
      <c r="O3" s="24">
        <v>1475</v>
      </c>
      <c r="P3" s="25"/>
      <c r="Q3" s="24"/>
      <c r="R3" s="25"/>
    </row>
    <row r="4" spans="1:18" s="1" customFormat="1" x14ac:dyDescent="0.25">
      <c r="A4" s="24"/>
      <c r="B4" s="19"/>
      <c r="C4" s="19" t="s">
        <v>10</v>
      </c>
      <c r="D4" s="25" t="s">
        <v>11</v>
      </c>
      <c r="E4" s="24">
        <v>8410</v>
      </c>
      <c r="F4" s="25">
        <f>E3+E4</f>
        <v>21244</v>
      </c>
      <c r="G4" s="24">
        <v>3035</v>
      </c>
      <c r="H4" s="25">
        <f>G3+G4</f>
        <v>7139</v>
      </c>
      <c r="K4" s="24"/>
      <c r="L4" s="19"/>
      <c r="M4" s="19" t="s">
        <v>10</v>
      </c>
      <c r="N4" s="25" t="s">
        <v>11</v>
      </c>
      <c r="O4" s="24">
        <v>1302</v>
      </c>
      <c r="P4" s="25">
        <f>O3+O4</f>
        <v>2777</v>
      </c>
      <c r="Q4" s="24"/>
      <c r="R4" s="25"/>
    </row>
    <row r="5" spans="1:18" x14ac:dyDescent="0.25">
      <c r="A5" s="26"/>
      <c r="B5" s="5"/>
      <c r="C5" s="19" t="s">
        <v>12</v>
      </c>
      <c r="D5" s="27" t="s">
        <v>14</v>
      </c>
      <c r="E5" s="24">
        <v>14817</v>
      </c>
      <c r="F5" s="25">
        <f>F4+E5</f>
        <v>36061</v>
      </c>
      <c r="G5" s="24">
        <v>3125</v>
      </c>
      <c r="H5" s="25">
        <f>H4+G5</f>
        <v>10264</v>
      </c>
      <c r="K5" s="26"/>
      <c r="L5" s="5"/>
      <c r="M5" s="19" t="s">
        <v>12</v>
      </c>
      <c r="N5" s="27" t="s">
        <v>14</v>
      </c>
      <c r="O5" s="24">
        <v>10132</v>
      </c>
      <c r="P5" s="25">
        <f>P4+O5</f>
        <v>12909</v>
      </c>
      <c r="Q5" s="24"/>
      <c r="R5" s="25"/>
    </row>
    <row r="6" spans="1:18" x14ac:dyDescent="0.25">
      <c r="A6" s="26"/>
      <c r="B6" s="5"/>
      <c r="C6" s="19" t="s">
        <v>13</v>
      </c>
      <c r="D6" s="27" t="s">
        <v>15</v>
      </c>
      <c r="E6" s="24"/>
      <c r="F6" s="25"/>
      <c r="G6" s="24"/>
      <c r="H6" s="25"/>
      <c r="K6" s="26"/>
      <c r="L6" s="5"/>
      <c r="M6" s="19" t="s">
        <v>13</v>
      </c>
      <c r="N6" s="27" t="s">
        <v>15</v>
      </c>
      <c r="O6" s="26"/>
      <c r="P6" s="27"/>
      <c r="Q6" s="24"/>
      <c r="R6" s="25"/>
    </row>
    <row r="7" spans="1:18" ht="17.25" thickBot="1" x14ac:dyDescent="0.3">
      <c r="A7" s="28"/>
      <c r="B7" s="29"/>
      <c r="C7" s="30" t="s">
        <v>16</v>
      </c>
      <c r="D7" s="31" t="s">
        <v>17</v>
      </c>
      <c r="E7" s="32"/>
      <c r="F7" s="33"/>
      <c r="G7" s="34"/>
      <c r="H7" s="35"/>
      <c r="K7" s="28"/>
      <c r="L7" s="29"/>
      <c r="M7" s="30" t="s">
        <v>16</v>
      </c>
      <c r="N7" s="31" t="s">
        <v>17</v>
      </c>
      <c r="O7" s="28"/>
      <c r="P7" s="31"/>
      <c r="Q7" s="32"/>
      <c r="R7" s="33"/>
    </row>
    <row r="8" spans="1:18" ht="21" x14ac:dyDescent="0.25">
      <c r="G8" s="127" t="s">
        <v>39</v>
      </c>
      <c r="H8" s="128"/>
      <c r="I8" s="128"/>
      <c r="J8" s="128"/>
      <c r="K8" s="128"/>
      <c r="L8" s="128"/>
      <c r="M8" s="129"/>
    </row>
    <row r="9" spans="1:18" ht="21" x14ac:dyDescent="0.25">
      <c r="G9" s="130" t="s">
        <v>55</v>
      </c>
      <c r="H9" s="131"/>
      <c r="I9" s="131"/>
      <c r="J9" s="131"/>
      <c r="K9" s="131"/>
      <c r="L9" s="131"/>
      <c r="M9" s="132"/>
    </row>
    <row r="10" spans="1:18" ht="21" x14ac:dyDescent="0.25">
      <c r="G10" s="36" t="s">
        <v>3</v>
      </c>
      <c r="H10" s="37" t="s">
        <v>4</v>
      </c>
      <c r="I10" s="37" t="s">
        <v>5</v>
      </c>
      <c r="J10" s="37" t="s">
        <v>6</v>
      </c>
      <c r="K10" s="37" t="s">
        <v>51</v>
      </c>
      <c r="L10" s="37" t="s">
        <v>52</v>
      </c>
      <c r="M10" s="38" t="s">
        <v>9</v>
      </c>
    </row>
    <row r="11" spans="1:18" s="4" customFormat="1" ht="21" x14ac:dyDescent="0.25">
      <c r="G11" s="39">
        <v>2021</v>
      </c>
      <c r="H11" s="40" t="s">
        <v>2</v>
      </c>
      <c r="I11" s="40" t="s">
        <v>0</v>
      </c>
      <c r="J11" s="41" t="s">
        <v>1</v>
      </c>
      <c r="K11" s="40">
        <f>E3+O3</f>
        <v>14309</v>
      </c>
      <c r="L11" s="40">
        <f>G3</f>
        <v>4104</v>
      </c>
      <c r="M11" s="42"/>
    </row>
    <row r="12" spans="1:18" s="4" customFormat="1" ht="21" x14ac:dyDescent="0.25">
      <c r="G12" s="39"/>
      <c r="H12" s="40"/>
      <c r="I12" s="40" t="s">
        <v>10</v>
      </c>
      <c r="J12" s="41" t="s">
        <v>11</v>
      </c>
      <c r="K12" s="40">
        <f>F5+P5</f>
        <v>48970</v>
      </c>
      <c r="L12" s="40">
        <f>H4</f>
        <v>7139</v>
      </c>
      <c r="M12" s="43">
        <f>K12/(MID(G9,7,5)/31*17)</f>
        <v>1.7859647058823529</v>
      </c>
    </row>
    <row r="13" spans="1:18" s="4" customFormat="1" ht="21" x14ac:dyDescent="0.25">
      <c r="G13" s="44"/>
      <c r="H13" s="45"/>
      <c r="I13" s="40" t="s">
        <v>12</v>
      </c>
      <c r="J13" s="41" t="s">
        <v>14</v>
      </c>
      <c r="K13" s="45"/>
      <c r="L13" s="45"/>
      <c r="M13" s="46"/>
    </row>
    <row r="14" spans="1:18" s="4" customFormat="1" ht="21" x14ac:dyDescent="0.25">
      <c r="G14" s="44"/>
      <c r="H14" s="45"/>
      <c r="I14" s="40" t="s">
        <v>13</v>
      </c>
      <c r="J14" s="41" t="s">
        <v>15</v>
      </c>
      <c r="K14" s="45"/>
      <c r="L14" s="45"/>
      <c r="M14" s="46"/>
    </row>
    <row r="15" spans="1:18" ht="21" x14ac:dyDescent="0.25">
      <c r="G15" s="44"/>
      <c r="H15" s="45"/>
      <c r="I15" s="40" t="s">
        <v>16</v>
      </c>
      <c r="J15" s="41" t="s">
        <v>17</v>
      </c>
      <c r="K15" s="45"/>
      <c r="L15" s="45"/>
      <c r="M15" s="46"/>
    </row>
    <row r="16" spans="1:18" s="4" customFormat="1" ht="21.75" thickBot="1" x14ac:dyDescent="0.3">
      <c r="G16" s="47"/>
      <c r="H16" s="48"/>
      <c r="I16" s="49"/>
      <c r="J16" s="48"/>
      <c r="K16" s="48"/>
      <c r="L16" s="48"/>
      <c r="M16" s="50"/>
    </row>
    <row r="17" spans="1:23" x14ac:dyDescent="0.25">
      <c r="A17" s="53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</row>
    <row r="18" spans="1:23" s="1" customFormat="1" x14ac:dyDescent="0.25">
      <c r="A18" s="2" t="s">
        <v>3</v>
      </c>
      <c r="B18" s="2" t="s">
        <v>4</v>
      </c>
      <c r="C18" s="2" t="s">
        <v>5</v>
      </c>
      <c r="D18" s="2" t="s">
        <v>6</v>
      </c>
      <c r="E18" s="6" t="s">
        <v>19</v>
      </c>
      <c r="F18" s="6" t="s">
        <v>20</v>
      </c>
      <c r="G18" s="6" t="s">
        <v>21</v>
      </c>
      <c r="H18" s="6" t="s">
        <v>22</v>
      </c>
      <c r="I18" s="6" t="s">
        <v>23</v>
      </c>
      <c r="J18" s="6" t="s">
        <v>24</v>
      </c>
      <c r="K18" s="6" t="s">
        <v>25</v>
      </c>
      <c r="L18" s="6" t="s">
        <v>26</v>
      </c>
      <c r="M18" s="13" t="s">
        <v>31</v>
      </c>
      <c r="N18" s="6" t="s">
        <v>27</v>
      </c>
      <c r="O18" s="6" t="s">
        <v>28</v>
      </c>
      <c r="P18" s="6" t="s">
        <v>29</v>
      </c>
      <c r="Q18" s="6" t="s">
        <v>30</v>
      </c>
      <c r="R18" s="6" t="s">
        <v>41</v>
      </c>
      <c r="S18" s="6" t="s">
        <v>32</v>
      </c>
      <c r="T18" s="6" t="s">
        <v>33</v>
      </c>
      <c r="U18" s="6" t="s">
        <v>34</v>
      </c>
      <c r="V18" s="6" t="s">
        <v>35</v>
      </c>
      <c r="W18" s="6" t="s">
        <v>36</v>
      </c>
    </row>
    <row r="19" spans="1:23" s="1" customFormat="1" x14ac:dyDescent="0.25">
      <c r="A19" s="2">
        <v>2021</v>
      </c>
      <c r="B19" s="2" t="s">
        <v>2</v>
      </c>
      <c r="C19" s="2" t="s">
        <v>0</v>
      </c>
      <c r="D19" s="2" t="s">
        <v>1</v>
      </c>
      <c r="E19" s="2">
        <v>3828</v>
      </c>
      <c r="F19" s="6">
        <v>1304</v>
      </c>
      <c r="G19" s="6">
        <v>1230</v>
      </c>
      <c r="H19" s="6">
        <v>2562</v>
      </c>
      <c r="I19" s="6">
        <v>1146</v>
      </c>
      <c r="J19" s="6">
        <v>777</v>
      </c>
      <c r="K19" s="6">
        <v>1014</v>
      </c>
      <c r="L19" s="6">
        <v>640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1" customFormat="1" x14ac:dyDescent="0.25">
      <c r="A20" s="19"/>
      <c r="B20" s="6"/>
      <c r="C20" s="51" t="s">
        <v>8</v>
      </c>
      <c r="D20" s="6"/>
      <c r="E20" s="6">
        <f t="shared" ref="E20:W20" si="0">E19</f>
        <v>3828</v>
      </c>
      <c r="F20" s="6">
        <f t="shared" si="0"/>
        <v>1304</v>
      </c>
      <c r="G20" s="6">
        <f t="shared" si="0"/>
        <v>1230</v>
      </c>
      <c r="H20" s="6">
        <f t="shared" si="0"/>
        <v>2562</v>
      </c>
      <c r="I20" s="6">
        <f t="shared" si="0"/>
        <v>1146</v>
      </c>
      <c r="J20" s="6">
        <f t="shared" si="0"/>
        <v>777</v>
      </c>
      <c r="K20" s="6">
        <f t="shared" si="0"/>
        <v>1014</v>
      </c>
      <c r="L20" s="19">
        <f t="shared" si="0"/>
        <v>640</v>
      </c>
      <c r="M20" s="6">
        <f t="shared" si="0"/>
        <v>0</v>
      </c>
      <c r="N20" s="6">
        <f t="shared" si="0"/>
        <v>0</v>
      </c>
      <c r="O20" s="6">
        <f t="shared" si="0"/>
        <v>0</v>
      </c>
      <c r="P20" s="6">
        <f t="shared" si="0"/>
        <v>0</v>
      </c>
      <c r="Q20" s="6">
        <f t="shared" si="0"/>
        <v>0</v>
      </c>
      <c r="R20" s="6">
        <f t="shared" si="0"/>
        <v>0</v>
      </c>
      <c r="S20" s="6">
        <f t="shared" si="0"/>
        <v>0</v>
      </c>
      <c r="T20" s="6">
        <f t="shared" si="0"/>
        <v>0</v>
      </c>
      <c r="U20" s="6">
        <f t="shared" si="0"/>
        <v>0</v>
      </c>
      <c r="V20" s="6">
        <f t="shared" si="0"/>
        <v>0</v>
      </c>
      <c r="W20" s="6">
        <f t="shared" si="0"/>
        <v>0</v>
      </c>
    </row>
    <row r="21" spans="1:23" s="1" customFormat="1" x14ac:dyDescent="0.25">
      <c r="A21" s="19"/>
      <c r="B21" s="12"/>
      <c r="C21" s="52" t="s">
        <v>40</v>
      </c>
      <c r="D21" s="12"/>
      <c r="E21" s="12">
        <v>857</v>
      </c>
      <c r="F21" s="12">
        <v>276</v>
      </c>
      <c r="G21" s="12">
        <v>277</v>
      </c>
      <c r="H21" s="12">
        <v>573</v>
      </c>
      <c r="I21" s="12">
        <v>279</v>
      </c>
      <c r="J21" s="12">
        <v>163</v>
      </c>
      <c r="K21" s="12">
        <v>211</v>
      </c>
      <c r="L21" s="19">
        <v>160</v>
      </c>
      <c r="M21" s="12">
        <v>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s="1" customFormat="1" x14ac:dyDescent="0.25">
      <c r="A22" s="2"/>
      <c r="B22" s="2"/>
      <c r="C22" s="2" t="s">
        <v>10</v>
      </c>
      <c r="D22" s="2" t="s">
        <v>11</v>
      </c>
      <c r="E22" s="6">
        <v>2677</v>
      </c>
      <c r="F22" s="19">
        <v>1556</v>
      </c>
      <c r="G22" s="7">
        <v>543</v>
      </c>
      <c r="H22" s="6">
        <v>0</v>
      </c>
      <c r="I22" s="6">
        <v>1530</v>
      </c>
      <c r="J22" s="6">
        <v>0</v>
      </c>
      <c r="K22" s="6">
        <v>828</v>
      </c>
      <c r="L22" s="6">
        <v>424</v>
      </c>
      <c r="M22" s="6">
        <v>852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s="11" customFormat="1" x14ac:dyDescent="0.25">
      <c r="A23" s="10"/>
      <c r="B23" s="10"/>
      <c r="C23" s="51" t="s">
        <v>8</v>
      </c>
      <c r="D23" s="10"/>
      <c r="E23" s="10">
        <f t="shared" ref="E23:M23" si="1">E22+E20</f>
        <v>6505</v>
      </c>
      <c r="F23" s="10">
        <f t="shared" si="1"/>
        <v>2860</v>
      </c>
      <c r="G23" s="10">
        <f t="shared" si="1"/>
        <v>1773</v>
      </c>
      <c r="H23" s="10">
        <f t="shared" si="1"/>
        <v>2562</v>
      </c>
      <c r="I23" s="10">
        <f t="shared" si="1"/>
        <v>2676</v>
      </c>
      <c r="J23" s="10">
        <f t="shared" si="1"/>
        <v>777</v>
      </c>
      <c r="K23" s="10">
        <f t="shared" si="1"/>
        <v>1842</v>
      </c>
      <c r="L23" s="10">
        <f t="shared" si="1"/>
        <v>1064</v>
      </c>
      <c r="M23" s="10">
        <f t="shared" si="1"/>
        <v>852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1" customFormat="1" x14ac:dyDescent="0.25">
      <c r="A24" s="10"/>
      <c r="B24" s="10"/>
      <c r="C24" s="52" t="s">
        <v>40</v>
      </c>
      <c r="D24" s="10"/>
      <c r="E24" s="10">
        <v>523</v>
      </c>
      <c r="F24" s="10">
        <v>344</v>
      </c>
      <c r="G24" s="10">
        <v>97</v>
      </c>
      <c r="H24" s="10">
        <v>0</v>
      </c>
      <c r="I24" s="10">
        <v>285</v>
      </c>
      <c r="J24" s="10">
        <v>0</v>
      </c>
      <c r="K24" s="10">
        <v>182</v>
      </c>
      <c r="L24" s="10">
        <v>96</v>
      </c>
      <c r="M24" s="10">
        <v>178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1" customFormat="1" x14ac:dyDescent="0.25">
      <c r="A25" s="10"/>
      <c r="B25" s="10"/>
      <c r="C25" s="52" t="s">
        <v>85</v>
      </c>
      <c r="D25" s="10"/>
      <c r="E25" s="10">
        <f t="shared" ref="E25:M25" si="2">E21+E24</f>
        <v>1380</v>
      </c>
      <c r="F25" s="10">
        <f t="shared" si="2"/>
        <v>620</v>
      </c>
      <c r="G25" s="10">
        <f t="shared" si="2"/>
        <v>374</v>
      </c>
      <c r="H25" s="10">
        <f t="shared" si="2"/>
        <v>573</v>
      </c>
      <c r="I25" s="10">
        <f t="shared" si="2"/>
        <v>564</v>
      </c>
      <c r="J25" s="10">
        <f t="shared" si="2"/>
        <v>163</v>
      </c>
      <c r="K25" s="10">
        <f t="shared" si="2"/>
        <v>393</v>
      </c>
      <c r="L25" s="10">
        <f t="shared" si="2"/>
        <v>256</v>
      </c>
      <c r="M25" s="10">
        <f t="shared" si="2"/>
        <v>178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A26" s="5"/>
      <c r="B26" s="3"/>
      <c r="C26" s="19" t="s">
        <v>12</v>
      </c>
      <c r="D26" s="3" t="s">
        <v>14</v>
      </c>
      <c r="E26" s="19">
        <v>3392</v>
      </c>
      <c r="F26" s="19">
        <v>978</v>
      </c>
      <c r="G26" s="19">
        <v>1845</v>
      </c>
      <c r="H26" s="19">
        <v>409</v>
      </c>
      <c r="I26" s="19">
        <v>2738</v>
      </c>
      <c r="J26" s="19">
        <v>460</v>
      </c>
      <c r="K26" s="19">
        <v>0</v>
      </c>
      <c r="L26" s="19">
        <v>389</v>
      </c>
      <c r="M26" s="19">
        <v>662</v>
      </c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s="4" customFormat="1" x14ac:dyDescent="0.25">
      <c r="A27" s="5"/>
      <c r="B27" s="5"/>
      <c r="C27" s="51" t="s">
        <v>8</v>
      </c>
      <c r="D27" s="5"/>
      <c r="E27" s="19">
        <f>E23+E26</f>
        <v>9897</v>
      </c>
      <c r="F27" s="19">
        <f t="shared" ref="F27:M27" si="3">F23+F26</f>
        <v>3838</v>
      </c>
      <c r="G27" s="19">
        <f t="shared" si="3"/>
        <v>3618</v>
      </c>
      <c r="H27" s="19">
        <f t="shared" si="3"/>
        <v>2971</v>
      </c>
      <c r="I27" s="19">
        <f t="shared" si="3"/>
        <v>5414</v>
      </c>
      <c r="J27" s="19">
        <f t="shared" si="3"/>
        <v>1237</v>
      </c>
      <c r="K27" s="19">
        <f t="shared" si="3"/>
        <v>1842</v>
      </c>
      <c r="L27" s="19">
        <f t="shared" si="3"/>
        <v>1453</v>
      </c>
      <c r="M27" s="19">
        <f t="shared" si="3"/>
        <v>1514</v>
      </c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s="4" customFormat="1" x14ac:dyDescent="0.25">
      <c r="A28" s="5"/>
      <c r="B28" s="5"/>
      <c r="C28" s="52" t="s">
        <v>40</v>
      </c>
      <c r="D28" s="5"/>
      <c r="E28" s="19">
        <v>469</v>
      </c>
      <c r="F28" s="19">
        <v>95</v>
      </c>
      <c r="G28" s="19">
        <v>255</v>
      </c>
      <c r="H28" s="19">
        <v>71</v>
      </c>
      <c r="I28" s="19">
        <v>410</v>
      </c>
      <c r="J28" s="19">
        <v>38</v>
      </c>
      <c r="K28" s="19">
        <v>0</v>
      </c>
      <c r="L28" s="19">
        <v>60</v>
      </c>
      <c r="M28" s="19">
        <v>108</v>
      </c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s="4" customFormat="1" x14ac:dyDescent="0.25">
      <c r="A29" s="5"/>
      <c r="B29" s="5"/>
      <c r="C29" s="52" t="s">
        <v>86</v>
      </c>
      <c r="D29" s="5"/>
      <c r="E29" s="19">
        <f>E25+E28</f>
        <v>1849</v>
      </c>
      <c r="F29" s="19">
        <f t="shared" ref="F29:M29" si="4">F25+F28</f>
        <v>715</v>
      </c>
      <c r="G29" s="19">
        <f t="shared" si="4"/>
        <v>629</v>
      </c>
      <c r="H29" s="19">
        <f t="shared" si="4"/>
        <v>644</v>
      </c>
      <c r="I29" s="19">
        <f t="shared" si="4"/>
        <v>974</v>
      </c>
      <c r="J29" s="19">
        <f t="shared" si="4"/>
        <v>201</v>
      </c>
      <c r="K29" s="19">
        <f t="shared" si="4"/>
        <v>393</v>
      </c>
      <c r="L29" s="19">
        <f t="shared" si="4"/>
        <v>316</v>
      </c>
      <c r="M29" s="19">
        <f t="shared" si="4"/>
        <v>286</v>
      </c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5">
      <c r="A30" s="5"/>
      <c r="B30" s="3"/>
      <c r="C30" s="19" t="s">
        <v>13</v>
      </c>
      <c r="D30" s="3" t="s">
        <v>15</v>
      </c>
      <c r="E30" s="3"/>
      <c r="F30" s="3"/>
      <c r="G30" s="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s="4" customFormat="1" x14ac:dyDescent="0.25">
      <c r="A31" s="5"/>
      <c r="B31" s="5"/>
      <c r="C31" s="19" t="s">
        <v>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5">
      <c r="A32" s="5"/>
      <c r="B32" s="3"/>
      <c r="C32" s="19" t="s">
        <v>16</v>
      </c>
      <c r="D32" s="3" t="s">
        <v>17</v>
      </c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s="4" customFormat="1" x14ac:dyDescent="0.25">
      <c r="A33" s="5"/>
      <c r="B33" s="5"/>
      <c r="C33" s="19" t="s">
        <v>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</sheetData>
  <mergeCells count="4">
    <mergeCell ref="A1:H1"/>
    <mergeCell ref="K1:R1"/>
    <mergeCell ref="G8:M8"/>
    <mergeCell ref="G9:M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R9" sqref="R9"/>
    </sheetView>
  </sheetViews>
  <sheetFormatPr defaultRowHeight="16.5" x14ac:dyDescent="0.25"/>
  <cols>
    <col min="1" max="1" width="11.375" bestFit="1" customWidth="1"/>
    <col min="3" max="3" width="15.375" bestFit="1" customWidth="1"/>
    <col min="4" max="4" width="15.375" style="4" bestFit="1" customWidth="1"/>
  </cols>
  <sheetData>
    <row r="1" spans="1:4" ht="21" x14ac:dyDescent="0.25">
      <c r="A1" s="18" t="s">
        <v>56</v>
      </c>
      <c r="B1" s="18" t="s">
        <v>46</v>
      </c>
      <c r="C1" s="18" t="s">
        <v>47</v>
      </c>
      <c r="D1" s="18" t="s">
        <v>57</v>
      </c>
    </row>
    <row r="2" spans="1:4" ht="21" x14ac:dyDescent="0.25">
      <c r="A2" s="16" t="s">
        <v>19</v>
      </c>
      <c r="B2" s="17">
        <v>84</v>
      </c>
      <c r="C2" s="18">
        <v>11543</v>
      </c>
      <c r="D2" s="18">
        <v>2041</v>
      </c>
    </row>
    <row r="3" spans="1:4" ht="21" x14ac:dyDescent="0.25">
      <c r="A3" s="16" t="s">
        <v>23</v>
      </c>
      <c r="B3" s="17">
        <v>43</v>
      </c>
      <c r="C3" s="18">
        <v>5414</v>
      </c>
      <c r="D3" s="18">
        <v>974</v>
      </c>
    </row>
    <row r="4" spans="1:4" ht="21" x14ac:dyDescent="0.25">
      <c r="A4" s="16" t="s">
        <v>21</v>
      </c>
      <c r="B4" s="17">
        <v>54</v>
      </c>
      <c r="C4" s="18">
        <v>4069</v>
      </c>
      <c r="D4" s="18">
        <v>629</v>
      </c>
    </row>
    <row r="5" spans="1:4" ht="21" x14ac:dyDescent="0.25">
      <c r="A5" s="16" t="s">
        <v>20</v>
      </c>
      <c r="B5" s="17">
        <v>69</v>
      </c>
      <c r="C5" s="18">
        <v>3904</v>
      </c>
      <c r="D5" s="18">
        <v>727</v>
      </c>
    </row>
    <row r="6" spans="1:4" ht="21" x14ac:dyDescent="0.25">
      <c r="A6" s="16" t="s">
        <v>22</v>
      </c>
      <c r="B6" s="17">
        <v>38</v>
      </c>
      <c r="C6" s="18">
        <v>3476</v>
      </c>
      <c r="D6" s="18">
        <v>650</v>
      </c>
    </row>
    <row r="7" spans="1:4" ht="21" x14ac:dyDescent="0.25">
      <c r="A7" s="16" t="s">
        <v>25</v>
      </c>
      <c r="B7" s="17">
        <v>22</v>
      </c>
      <c r="C7" s="18">
        <v>1842</v>
      </c>
      <c r="D7" s="18">
        <v>393</v>
      </c>
    </row>
    <row r="8" spans="1:4" ht="21" x14ac:dyDescent="0.25">
      <c r="A8" s="16" t="s">
        <v>48</v>
      </c>
      <c r="B8" s="17">
        <v>26</v>
      </c>
      <c r="C8" s="18">
        <v>1609</v>
      </c>
      <c r="D8" s="18">
        <v>78</v>
      </c>
    </row>
    <row r="9" spans="1:4" ht="21" x14ac:dyDescent="0.25">
      <c r="A9" s="16" t="s">
        <v>31</v>
      </c>
      <c r="B9" s="17">
        <v>29</v>
      </c>
      <c r="C9" s="18">
        <v>1514</v>
      </c>
      <c r="D9" s="18">
        <v>286</v>
      </c>
    </row>
    <row r="10" spans="1:4" ht="21" x14ac:dyDescent="0.25">
      <c r="A10" s="16" t="s">
        <v>26</v>
      </c>
      <c r="B10" s="17">
        <v>16</v>
      </c>
      <c r="C10" s="18">
        <v>1453</v>
      </c>
      <c r="D10" s="18">
        <v>316</v>
      </c>
    </row>
    <row r="11" spans="1:4" ht="21" x14ac:dyDescent="0.25">
      <c r="A11" s="16" t="s">
        <v>24</v>
      </c>
      <c r="B11" s="17">
        <v>19</v>
      </c>
      <c r="C11" s="18">
        <v>1237</v>
      </c>
      <c r="D11" s="18">
        <v>201</v>
      </c>
    </row>
    <row r="12" spans="1:4" ht="21" x14ac:dyDescent="0.25">
      <c r="A12" s="16" t="s">
        <v>36</v>
      </c>
      <c r="B12" s="17">
        <v>14</v>
      </c>
      <c r="C12" s="18">
        <v>0</v>
      </c>
      <c r="D12" s="18">
        <v>0</v>
      </c>
    </row>
    <row r="13" spans="1:4" ht="21" x14ac:dyDescent="0.25">
      <c r="A13" s="16" t="s">
        <v>29</v>
      </c>
      <c r="B13" s="17">
        <v>9</v>
      </c>
      <c r="C13" s="18">
        <v>0</v>
      </c>
      <c r="D13" s="18">
        <v>0</v>
      </c>
    </row>
    <row r="14" spans="1:4" ht="21" x14ac:dyDescent="0.25">
      <c r="A14" s="16" t="s">
        <v>30</v>
      </c>
      <c r="B14" s="17">
        <v>8</v>
      </c>
      <c r="C14" s="18">
        <v>0</v>
      </c>
      <c r="D14" s="18">
        <v>0</v>
      </c>
    </row>
    <row r="15" spans="1:4" ht="21" x14ac:dyDescent="0.25">
      <c r="A15" s="16" t="s">
        <v>32</v>
      </c>
      <c r="B15" s="17">
        <v>8</v>
      </c>
      <c r="C15" s="18">
        <v>0</v>
      </c>
      <c r="D15" s="18">
        <v>0</v>
      </c>
    </row>
    <row r="16" spans="1:4" ht="21" x14ac:dyDescent="0.25">
      <c r="A16" s="16" t="s">
        <v>27</v>
      </c>
      <c r="B16" s="17">
        <v>7</v>
      </c>
      <c r="C16" s="18">
        <v>0</v>
      </c>
      <c r="D16" s="18">
        <v>0</v>
      </c>
    </row>
    <row r="17" spans="1:4" ht="21" x14ac:dyDescent="0.25">
      <c r="A17" s="16" t="s">
        <v>43</v>
      </c>
      <c r="B17" s="17">
        <v>6</v>
      </c>
      <c r="C17" s="18">
        <v>0</v>
      </c>
      <c r="D17" s="18">
        <v>0</v>
      </c>
    </row>
    <row r="18" spans="1:4" ht="21" x14ac:dyDescent="0.25">
      <c r="A18" s="16" t="s">
        <v>28</v>
      </c>
      <c r="B18" s="17">
        <v>6</v>
      </c>
      <c r="C18" s="18">
        <v>0</v>
      </c>
      <c r="D18" s="18">
        <v>0</v>
      </c>
    </row>
    <row r="19" spans="1:4" ht="21" x14ac:dyDescent="0.25">
      <c r="A19" s="16" t="s">
        <v>34</v>
      </c>
      <c r="B19" s="17">
        <v>5</v>
      </c>
      <c r="C19" s="18">
        <v>0</v>
      </c>
      <c r="D19" s="18">
        <v>0</v>
      </c>
    </row>
    <row r="20" spans="1:4" ht="21" x14ac:dyDescent="0.25">
      <c r="A20" s="16" t="s">
        <v>35</v>
      </c>
      <c r="B20" s="17">
        <v>4</v>
      </c>
      <c r="C20" s="18">
        <v>0</v>
      </c>
      <c r="D20" s="18">
        <v>0</v>
      </c>
    </row>
    <row r="21" spans="1:4" s="4" customFormat="1" ht="21" x14ac:dyDescent="0.25">
      <c r="A21" s="16" t="s">
        <v>33</v>
      </c>
      <c r="B21" s="17">
        <v>3</v>
      </c>
      <c r="C21" s="18">
        <v>0</v>
      </c>
      <c r="D21" s="18">
        <v>0</v>
      </c>
    </row>
    <row r="31" spans="1:4" x14ac:dyDescent="0.25">
      <c r="B31">
        <f>CORREL(B2:B11,C2:C11)</f>
        <v>0.86537102322240966</v>
      </c>
    </row>
  </sheetData>
  <sortState ref="A2:D21">
    <sortCondition descending="1" ref="C2:C21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D32" sqref="D32"/>
    </sheetView>
  </sheetViews>
  <sheetFormatPr defaultRowHeight="16.5" x14ac:dyDescent="0.25"/>
  <cols>
    <col min="1" max="1" width="12.25" bestFit="1" customWidth="1"/>
    <col min="2" max="2" width="8.5" style="4" bestFit="1" customWidth="1"/>
    <col min="3" max="6" width="15.75" bestFit="1" customWidth="1"/>
    <col min="7" max="7" width="12.75" bestFit="1" customWidth="1"/>
    <col min="8" max="8" width="18.25" bestFit="1" customWidth="1"/>
  </cols>
  <sheetData>
    <row r="1" spans="1:8" ht="27.75" x14ac:dyDescent="0.25">
      <c r="A1" s="64" t="s">
        <v>3</v>
      </c>
      <c r="B1" s="64">
        <v>2022</v>
      </c>
      <c r="C1" s="64"/>
      <c r="D1" s="64"/>
      <c r="E1" s="65"/>
      <c r="F1" s="65"/>
      <c r="G1" s="5"/>
    </row>
    <row r="2" spans="1:8" ht="27.75" x14ac:dyDescent="0.25">
      <c r="A2" s="64" t="s">
        <v>4</v>
      </c>
      <c r="B2" s="64" t="s">
        <v>185</v>
      </c>
      <c r="C2" s="64"/>
      <c r="D2" s="64"/>
      <c r="E2" s="65"/>
      <c r="F2" s="65"/>
      <c r="G2" s="5"/>
    </row>
    <row r="3" spans="1:8" ht="27.75" x14ac:dyDescent="0.25">
      <c r="A3" s="64" t="s">
        <v>5</v>
      </c>
      <c r="B3" s="64"/>
      <c r="C3" s="64" t="s">
        <v>181</v>
      </c>
      <c r="D3" s="64" t="s">
        <v>182</v>
      </c>
      <c r="E3" s="64" t="s">
        <v>183</v>
      </c>
      <c r="F3" s="64" t="s">
        <v>184</v>
      </c>
      <c r="G3" s="133" t="s">
        <v>87</v>
      </c>
      <c r="H3" s="133" t="s">
        <v>190</v>
      </c>
    </row>
    <row r="4" spans="1:8" ht="27.75" x14ac:dyDescent="0.25">
      <c r="A4" s="64" t="s">
        <v>6</v>
      </c>
      <c r="B4" s="64"/>
      <c r="C4" s="64" t="s">
        <v>186</v>
      </c>
      <c r="D4" s="64" t="s">
        <v>187</v>
      </c>
      <c r="E4" s="64" t="s">
        <v>188</v>
      </c>
      <c r="F4" s="66" t="s">
        <v>189</v>
      </c>
      <c r="G4" s="134"/>
      <c r="H4" s="134"/>
    </row>
    <row r="5" spans="1:8" ht="27.75" x14ac:dyDescent="0.25">
      <c r="A5" s="64" t="s">
        <v>83</v>
      </c>
      <c r="B5" s="64"/>
      <c r="C5" s="64"/>
      <c r="D5" s="64"/>
      <c r="E5" s="66"/>
      <c r="F5" s="66"/>
      <c r="G5" s="66">
        <f>SUM(C5:F5)</f>
        <v>0</v>
      </c>
      <c r="H5" s="118"/>
    </row>
    <row r="6" spans="1:8" ht="27.75" x14ac:dyDescent="0.25">
      <c r="A6" s="64" t="s">
        <v>7</v>
      </c>
      <c r="B6" s="64"/>
      <c r="C6" s="64"/>
      <c r="D6" s="64"/>
      <c r="E6" s="64"/>
      <c r="F6" s="64"/>
      <c r="G6" s="66">
        <f t="shared" ref="G6:G7" si="0">SUM(C6:F6)</f>
        <v>0</v>
      </c>
      <c r="H6" s="119">
        <f t="shared" ref="H6:H7" si="1">G6/1.05</f>
        <v>0</v>
      </c>
    </row>
    <row r="7" spans="1:8" ht="27.75" x14ac:dyDescent="0.25">
      <c r="A7" s="64" t="s">
        <v>84</v>
      </c>
      <c r="B7" s="64"/>
      <c r="C7" s="64"/>
      <c r="D7" s="64"/>
      <c r="E7" s="64"/>
      <c r="F7" s="64"/>
      <c r="G7" s="66">
        <f t="shared" si="0"/>
        <v>0</v>
      </c>
      <c r="H7" s="119">
        <f t="shared" si="1"/>
        <v>0</v>
      </c>
    </row>
  </sheetData>
  <mergeCells count="2">
    <mergeCell ref="G3:G4"/>
    <mergeCell ref="H3:H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V33" sqref="V33"/>
    </sheetView>
  </sheetViews>
  <sheetFormatPr defaultRowHeight="16.5" x14ac:dyDescent="0.25"/>
  <cols>
    <col min="1" max="1" width="11.375" style="4" bestFit="1" customWidth="1"/>
    <col min="2" max="2" width="11.625" style="4" bestFit="1" customWidth="1"/>
    <col min="3" max="3" width="7.5" style="4" bestFit="1" customWidth="1"/>
    <col min="4" max="4" width="5.5" style="4" bestFit="1" customWidth="1"/>
    <col min="5" max="5" width="1.75" style="4" customWidth="1"/>
    <col min="6" max="6" width="11.625" style="4" bestFit="1" customWidth="1"/>
    <col min="7" max="7" width="7.5" style="4" bestFit="1" customWidth="1"/>
    <col min="8" max="8" width="5.5" style="4" bestFit="1" customWidth="1"/>
    <col min="9" max="9" width="9.375" style="100" bestFit="1" customWidth="1"/>
    <col min="10" max="10" width="1.75" style="4" customWidth="1"/>
    <col min="11" max="11" width="11.625" style="4" bestFit="1" customWidth="1"/>
    <col min="12" max="12" width="7.5" style="4" bestFit="1" customWidth="1"/>
    <col min="13" max="13" width="5.5" style="4" bestFit="1" customWidth="1"/>
    <col min="14" max="14" width="9.375" style="4" bestFit="1" customWidth="1"/>
    <col min="15" max="15" width="1.75" style="4" customWidth="1"/>
    <col min="16" max="16" width="11.625" style="4" bestFit="1" customWidth="1"/>
    <col min="17" max="17" width="7.5" style="4" bestFit="1" customWidth="1"/>
    <col min="18" max="18" width="5.5" style="4" bestFit="1" customWidth="1"/>
    <col min="19" max="19" width="1.75" style="4" customWidth="1"/>
    <col min="20" max="21" width="9.5" style="4" bestFit="1" customWidth="1"/>
    <col min="22" max="22" width="7.5" style="4" bestFit="1" customWidth="1"/>
    <col min="23" max="28" width="11.375" style="4" bestFit="1" customWidth="1"/>
    <col min="29" max="16384" width="9" style="4"/>
  </cols>
  <sheetData>
    <row r="1" spans="1:22" x14ac:dyDescent="0.25">
      <c r="A1" s="19" t="s">
        <v>96</v>
      </c>
      <c r="B1" s="19" t="s">
        <v>95</v>
      </c>
      <c r="C1" s="19"/>
      <c r="D1" s="19"/>
      <c r="E1" s="94"/>
      <c r="F1" s="19" t="s">
        <v>94</v>
      </c>
      <c r="G1" s="19"/>
      <c r="H1" s="19"/>
      <c r="I1" s="98"/>
      <c r="J1" s="94"/>
      <c r="K1" s="19" t="s">
        <v>93</v>
      </c>
      <c r="L1" s="19"/>
      <c r="M1" s="19"/>
      <c r="N1" s="19"/>
      <c r="O1" s="94"/>
      <c r="P1" s="19" t="s">
        <v>101</v>
      </c>
      <c r="Q1" s="19"/>
      <c r="R1" s="19"/>
      <c r="S1" s="94"/>
      <c r="T1" s="19" t="s">
        <v>100</v>
      </c>
      <c r="U1" s="19"/>
      <c r="V1" s="19"/>
    </row>
    <row r="2" spans="1:22" x14ac:dyDescent="0.25">
      <c r="A2" s="19" t="s">
        <v>102</v>
      </c>
      <c r="B2" s="95" t="s">
        <v>92</v>
      </c>
      <c r="C2" s="95" t="s">
        <v>91</v>
      </c>
      <c r="D2" s="95" t="s">
        <v>90</v>
      </c>
      <c r="E2" s="94"/>
      <c r="F2" s="19" t="s">
        <v>92</v>
      </c>
      <c r="G2" s="19" t="s">
        <v>91</v>
      </c>
      <c r="H2" s="19" t="s">
        <v>90</v>
      </c>
      <c r="I2" s="98" t="s">
        <v>148</v>
      </c>
      <c r="J2" s="94"/>
      <c r="K2" s="19" t="s">
        <v>92</v>
      </c>
      <c r="L2" s="19" t="s">
        <v>91</v>
      </c>
      <c r="M2" s="19" t="s">
        <v>90</v>
      </c>
      <c r="N2" s="19" t="s">
        <v>148</v>
      </c>
      <c r="O2" s="94"/>
      <c r="P2" s="19" t="s">
        <v>83</v>
      </c>
      <c r="Q2" s="19" t="s">
        <v>91</v>
      </c>
      <c r="R2" s="19" t="s">
        <v>84</v>
      </c>
      <c r="S2" s="94"/>
      <c r="T2" s="19" t="s">
        <v>97</v>
      </c>
      <c r="U2" s="19" t="s">
        <v>98</v>
      </c>
      <c r="V2" s="19" t="s">
        <v>99</v>
      </c>
    </row>
    <row r="3" spans="1:22" ht="19.5" x14ac:dyDescent="0.25">
      <c r="A3" s="92" t="s">
        <v>19</v>
      </c>
      <c r="B3" s="97">
        <v>30</v>
      </c>
      <c r="C3" s="97">
        <v>3828</v>
      </c>
      <c r="D3" s="97">
        <v>857</v>
      </c>
      <c r="E3" s="91"/>
      <c r="F3" s="97">
        <v>18</v>
      </c>
      <c r="G3" s="97">
        <v>2677</v>
      </c>
      <c r="H3" s="97">
        <v>523</v>
      </c>
      <c r="I3" s="99">
        <f>(F3-B3)/B3</f>
        <v>-0.4</v>
      </c>
      <c r="J3" s="91"/>
      <c r="K3" s="97">
        <v>73</v>
      </c>
      <c r="L3" s="97">
        <v>5038</v>
      </c>
      <c r="M3" s="97">
        <v>661</v>
      </c>
      <c r="N3" s="99">
        <f>(K3-F3)/F3</f>
        <v>3.0555555555555554</v>
      </c>
      <c r="O3" s="91"/>
      <c r="P3" s="90"/>
      <c r="Q3" s="90"/>
      <c r="R3" s="90"/>
      <c r="S3" s="91"/>
      <c r="T3" s="96">
        <f t="shared" ref="T3:T22" si="0">SUM(B3,F3,K3,P3)</f>
        <v>121</v>
      </c>
      <c r="U3" s="96">
        <f t="shared" ref="U3:U22" si="1">SUM(C3,G3,L3,Q3)</f>
        <v>11543</v>
      </c>
      <c r="V3" s="96">
        <f t="shared" ref="V3:V22" si="2">SUM(D3,H3,M3,R3)</f>
        <v>2041</v>
      </c>
    </row>
    <row r="4" spans="1:22" ht="19.5" x14ac:dyDescent="0.25">
      <c r="A4" s="92" t="s">
        <v>23</v>
      </c>
      <c r="B4" s="97">
        <v>9</v>
      </c>
      <c r="C4" s="97">
        <v>1146</v>
      </c>
      <c r="D4" s="97">
        <v>279</v>
      </c>
      <c r="E4" s="91"/>
      <c r="F4" s="97">
        <v>10</v>
      </c>
      <c r="G4" s="97">
        <v>1530</v>
      </c>
      <c r="H4" s="97">
        <v>285</v>
      </c>
      <c r="I4" s="99">
        <f t="shared" ref="I4:I12" si="3">(F4-B4)/B4</f>
        <v>0.1111111111111111</v>
      </c>
      <c r="J4" s="91"/>
      <c r="K4" s="97">
        <v>24</v>
      </c>
      <c r="L4" s="97">
        <v>2738</v>
      </c>
      <c r="M4" s="97">
        <v>410</v>
      </c>
      <c r="N4" s="99">
        <f t="shared" ref="N4:N12" si="4">(K4-F4)/F4</f>
        <v>1.4</v>
      </c>
      <c r="O4" s="91"/>
      <c r="P4" s="90"/>
      <c r="Q4" s="90"/>
      <c r="R4" s="90"/>
      <c r="S4" s="91"/>
      <c r="T4" s="96">
        <f t="shared" si="0"/>
        <v>43</v>
      </c>
      <c r="U4" s="96">
        <f t="shared" si="1"/>
        <v>5414</v>
      </c>
      <c r="V4" s="96">
        <f t="shared" si="2"/>
        <v>974</v>
      </c>
    </row>
    <row r="5" spans="1:22" ht="19.5" x14ac:dyDescent="0.25">
      <c r="A5" s="92" t="s">
        <v>21</v>
      </c>
      <c r="B5" s="97">
        <v>12</v>
      </c>
      <c r="C5" s="97">
        <v>1563</v>
      </c>
      <c r="D5" s="97">
        <v>277</v>
      </c>
      <c r="E5" s="91"/>
      <c r="F5" s="97">
        <v>4</v>
      </c>
      <c r="G5" s="97">
        <v>543</v>
      </c>
      <c r="H5" s="97">
        <v>97</v>
      </c>
      <c r="I5" s="99">
        <f t="shared" si="3"/>
        <v>-0.66666666666666663</v>
      </c>
      <c r="J5" s="91"/>
      <c r="K5" s="97">
        <v>14</v>
      </c>
      <c r="L5" s="97">
        <v>1963</v>
      </c>
      <c r="M5" s="97">
        <v>255</v>
      </c>
      <c r="N5" s="99">
        <f t="shared" si="4"/>
        <v>2.5</v>
      </c>
      <c r="O5" s="91"/>
      <c r="P5" s="90"/>
      <c r="Q5" s="90"/>
      <c r="R5" s="90"/>
      <c r="S5" s="91"/>
      <c r="T5" s="96">
        <f t="shared" si="0"/>
        <v>30</v>
      </c>
      <c r="U5" s="96">
        <f t="shared" si="1"/>
        <v>4069</v>
      </c>
      <c r="V5" s="96">
        <f t="shared" si="2"/>
        <v>629</v>
      </c>
    </row>
    <row r="6" spans="1:22" ht="19.5" x14ac:dyDescent="0.25">
      <c r="A6" s="92" t="s">
        <v>20</v>
      </c>
      <c r="B6" s="97">
        <v>9</v>
      </c>
      <c r="C6" s="97">
        <v>1304</v>
      </c>
      <c r="D6" s="97">
        <v>276</v>
      </c>
      <c r="E6" s="91"/>
      <c r="F6" s="97">
        <v>13</v>
      </c>
      <c r="G6" s="97">
        <v>1556</v>
      </c>
      <c r="H6" s="97">
        <v>344</v>
      </c>
      <c r="I6" s="99">
        <f t="shared" si="3"/>
        <v>0.44444444444444442</v>
      </c>
      <c r="J6" s="91"/>
      <c r="K6" s="97">
        <v>13</v>
      </c>
      <c r="L6" s="97">
        <v>1044</v>
      </c>
      <c r="M6" s="97">
        <v>107</v>
      </c>
      <c r="N6" s="99">
        <f t="shared" si="4"/>
        <v>0</v>
      </c>
      <c r="O6" s="91"/>
      <c r="P6" s="90"/>
      <c r="Q6" s="90"/>
      <c r="R6" s="90"/>
      <c r="S6" s="91"/>
      <c r="T6" s="96">
        <f t="shared" si="0"/>
        <v>35</v>
      </c>
      <c r="U6" s="96">
        <f t="shared" si="1"/>
        <v>3904</v>
      </c>
      <c r="V6" s="96">
        <f t="shared" si="2"/>
        <v>727</v>
      </c>
    </row>
    <row r="7" spans="1:22" ht="19.5" x14ac:dyDescent="0.25">
      <c r="A7" s="92" t="s">
        <v>22</v>
      </c>
      <c r="B7" s="97">
        <v>17</v>
      </c>
      <c r="C7" s="97">
        <v>2562</v>
      </c>
      <c r="D7" s="97">
        <v>573</v>
      </c>
      <c r="E7" s="91"/>
      <c r="F7" s="97">
        <v>0</v>
      </c>
      <c r="G7" s="97">
        <v>0</v>
      </c>
      <c r="H7" s="97">
        <v>0</v>
      </c>
      <c r="I7" s="99">
        <f t="shared" si="3"/>
        <v>-1</v>
      </c>
      <c r="J7" s="91"/>
      <c r="K7" s="97">
        <v>14</v>
      </c>
      <c r="L7" s="97">
        <v>914</v>
      </c>
      <c r="M7" s="97">
        <v>77</v>
      </c>
      <c r="N7" s="99" t="e">
        <f t="shared" si="4"/>
        <v>#DIV/0!</v>
      </c>
      <c r="O7" s="91"/>
      <c r="P7" s="90"/>
      <c r="Q7" s="90"/>
      <c r="R7" s="90"/>
      <c r="S7" s="91"/>
      <c r="T7" s="96">
        <f t="shared" si="0"/>
        <v>31</v>
      </c>
      <c r="U7" s="96">
        <f t="shared" si="1"/>
        <v>3476</v>
      </c>
      <c r="V7" s="96">
        <f t="shared" si="2"/>
        <v>650</v>
      </c>
    </row>
    <row r="8" spans="1:22" ht="19.5" x14ac:dyDescent="0.25">
      <c r="A8" s="93" t="s">
        <v>25</v>
      </c>
      <c r="B8" s="97">
        <v>7</v>
      </c>
      <c r="C8" s="97">
        <v>1014</v>
      </c>
      <c r="D8" s="97">
        <v>211</v>
      </c>
      <c r="E8" s="91"/>
      <c r="F8" s="97">
        <v>6</v>
      </c>
      <c r="G8" s="97">
        <v>828</v>
      </c>
      <c r="H8" s="97">
        <v>182</v>
      </c>
      <c r="I8" s="99">
        <f t="shared" si="3"/>
        <v>-0.14285714285714285</v>
      </c>
      <c r="J8" s="91"/>
      <c r="K8" s="97">
        <v>0</v>
      </c>
      <c r="L8" s="97">
        <v>0</v>
      </c>
      <c r="M8" s="97">
        <v>0</v>
      </c>
      <c r="N8" s="99">
        <f t="shared" si="4"/>
        <v>-1</v>
      </c>
      <c r="O8" s="91"/>
      <c r="P8" s="90"/>
      <c r="Q8" s="90"/>
      <c r="R8" s="90"/>
      <c r="S8" s="91"/>
      <c r="T8" s="96">
        <f t="shared" si="0"/>
        <v>13</v>
      </c>
      <c r="U8" s="96">
        <f t="shared" si="1"/>
        <v>1842</v>
      </c>
      <c r="V8" s="96">
        <f t="shared" si="2"/>
        <v>393</v>
      </c>
    </row>
    <row r="9" spans="1:22" ht="19.5" x14ac:dyDescent="0.25">
      <c r="A9" s="92" t="s">
        <v>89</v>
      </c>
      <c r="B9" s="97">
        <v>0</v>
      </c>
      <c r="C9" s="97">
        <v>0</v>
      </c>
      <c r="D9" s="97">
        <v>0</v>
      </c>
      <c r="E9" s="91"/>
      <c r="F9" s="97">
        <v>0</v>
      </c>
      <c r="G9" s="97">
        <v>0</v>
      </c>
      <c r="H9" s="97">
        <v>0</v>
      </c>
      <c r="I9" s="99" t="e">
        <f t="shared" si="3"/>
        <v>#DIV/0!</v>
      </c>
      <c r="J9" s="91"/>
      <c r="K9" s="97">
        <v>33</v>
      </c>
      <c r="L9" s="97">
        <v>1609</v>
      </c>
      <c r="M9" s="97">
        <v>78</v>
      </c>
      <c r="N9" s="99" t="e">
        <f t="shared" si="4"/>
        <v>#DIV/0!</v>
      </c>
      <c r="O9" s="91"/>
      <c r="P9" s="90"/>
      <c r="Q9" s="90"/>
      <c r="R9" s="90"/>
      <c r="S9" s="91"/>
      <c r="T9" s="96">
        <f t="shared" si="0"/>
        <v>33</v>
      </c>
      <c r="U9" s="96">
        <f t="shared" si="1"/>
        <v>1609</v>
      </c>
      <c r="V9" s="96">
        <f t="shared" si="2"/>
        <v>78</v>
      </c>
    </row>
    <row r="10" spans="1:22" ht="19.5" x14ac:dyDescent="0.25">
      <c r="A10" s="92" t="s">
        <v>31</v>
      </c>
      <c r="B10" s="97">
        <v>0</v>
      </c>
      <c r="C10" s="97">
        <v>0</v>
      </c>
      <c r="D10" s="97">
        <v>0</v>
      </c>
      <c r="E10" s="91"/>
      <c r="F10" s="97">
        <v>7</v>
      </c>
      <c r="G10" s="97">
        <v>852</v>
      </c>
      <c r="H10" s="97">
        <v>178</v>
      </c>
      <c r="I10" s="99" t="e">
        <f t="shared" si="3"/>
        <v>#DIV/0!</v>
      </c>
      <c r="J10" s="91"/>
      <c r="K10" s="97">
        <v>6</v>
      </c>
      <c r="L10" s="97">
        <v>662</v>
      </c>
      <c r="M10" s="97">
        <v>108</v>
      </c>
      <c r="N10" s="99">
        <f t="shared" si="4"/>
        <v>-0.14285714285714285</v>
      </c>
      <c r="O10" s="91"/>
      <c r="P10" s="90"/>
      <c r="Q10" s="90"/>
      <c r="R10" s="90"/>
      <c r="S10" s="91"/>
      <c r="T10" s="96">
        <f t="shared" si="0"/>
        <v>13</v>
      </c>
      <c r="U10" s="96">
        <f t="shared" si="1"/>
        <v>1514</v>
      </c>
      <c r="V10" s="96">
        <f t="shared" si="2"/>
        <v>286</v>
      </c>
    </row>
    <row r="11" spans="1:22" ht="19.5" x14ac:dyDescent="0.25">
      <c r="A11" s="92" t="s">
        <v>26</v>
      </c>
      <c r="B11" s="97">
        <v>4</v>
      </c>
      <c r="C11" s="97">
        <v>640</v>
      </c>
      <c r="D11" s="97">
        <v>160</v>
      </c>
      <c r="E11" s="91"/>
      <c r="F11" s="97">
        <v>4</v>
      </c>
      <c r="G11" s="97">
        <v>424</v>
      </c>
      <c r="H11" s="97">
        <v>96</v>
      </c>
      <c r="I11" s="99">
        <f t="shared" si="3"/>
        <v>0</v>
      </c>
      <c r="J11" s="91"/>
      <c r="K11" s="97">
        <v>4</v>
      </c>
      <c r="L11" s="97">
        <v>389</v>
      </c>
      <c r="M11" s="97">
        <v>60</v>
      </c>
      <c r="N11" s="99">
        <f t="shared" si="4"/>
        <v>0</v>
      </c>
      <c r="O11" s="91"/>
      <c r="P11" s="90"/>
      <c r="Q11" s="90"/>
      <c r="R11" s="90"/>
      <c r="S11" s="91"/>
      <c r="T11" s="96">
        <f t="shared" si="0"/>
        <v>12</v>
      </c>
      <c r="U11" s="96">
        <f t="shared" si="1"/>
        <v>1453</v>
      </c>
      <c r="V11" s="96">
        <f t="shared" si="2"/>
        <v>316</v>
      </c>
    </row>
    <row r="12" spans="1:22" ht="19.5" x14ac:dyDescent="0.25">
      <c r="A12" s="92" t="s">
        <v>24</v>
      </c>
      <c r="B12" s="97">
        <v>5</v>
      </c>
      <c r="C12" s="97">
        <v>777</v>
      </c>
      <c r="D12" s="97">
        <v>163</v>
      </c>
      <c r="E12" s="91"/>
      <c r="F12" s="97">
        <v>0</v>
      </c>
      <c r="G12" s="97">
        <v>0</v>
      </c>
      <c r="H12" s="97">
        <v>0</v>
      </c>
      <c r="I12" s="99">
        <f t="shared" si="3"/>
        <v>-1</v>
      </c>
      <c r="J12" s="91"/>
      <c r="K12" s="97">
        <v>4</v>
      </c>
      <c r="L12" s="97">
        <v>460</v>
      </c>
      <c r="M12" s="97">
        <v>38</v>
      </c>
      <c r="N12" s="99" t="e">
        <f t="shared" si="4"/>
        <v>#DIV/0!</v>
      </c>
      <c r="O12" s="91"/>
      <c r="P12" s="90"/>
      <c r="Q12" s="90"/>
      <c r="R12" s="90"/>
      <c r="S12" s="91"/>
      <c r="T12" s="96">
        <f t="shared" si="0"/>
        <v>9</v>
      </c>
      <c r="U12" s="96">
        <f t="shared" si="1"/>
        <v>1237</v>
      </c>
      <c r="V12" s="96">
        <f t="shared" si="2"/>
        <v>201</v>
      </c>
    </row>
    <row r="13" spans="1:22" ht="19.5" x14ac:dyDescent="0.25">
      <c r="A13" s="92" t="s">
        <v>43</v>
      </c>
      <c r="B13" s="97">
        <v>0</v>
      </c>
      <c r="C13" s="97">
        <v>0</v>
      </c>
      <c r="D13" s="97">
        <v>0</v>
      </c>
      <c r="E13" s="91"/>
      <c r="F13" s="97">
        <v>0</v>
      </c>
      <c r="G13" s="97">
        <v>0</v>
      </c>
      <c r="H13" s="97">
        <v>0</v>
      </c>
      <c r="I13" s="99"/>
      <c r="J13" s="91"/>
      <c r="K13" s="97">
        <v>0</v>
      </c>
      <c r="L13" s="97">
        <v>0</v>
      </c>
      <c r="M13" s="97">
        <v>0</v>
      </c>
      <c r="N13" s="97"/>
      <c r="O13" s="91"/>
      <c r="P13" s="90"/>
      <c r="Q13" s="90"/>
      <c r="R13" s="90"/>
      <c r="S13" s="91"/>
      <c r="T13" s="96">
        <f t="shared" si="0"/>
        <v>0</v>
      </c>
      <c r="U13" s="96">
        <f t="shared" si="1"/>
        <v>0</v>
      </c>
      <c r="V13" s="96">
        <f t="shared" si="2"/>
        <v>0</v>
      </c>
    </row>
    <row r="14" spans="1:22" ht="19.5" x14ac:dyDescent="0.25">
      <c r="A14" s="92" t="s">
        <v>27</v>
      </c>
      <c r="B14" s="97">
        <v>0</v>
      </c>
      <c r="C14" s="97">
        <v>0</v>
      </c>
      <c r="D14" s="97">
        <v>0</v>
      </c>
      <c r="E14" s="91"/>
      <c r="F14" s="97">
        <v>0</v>
      </c>
      <c r="G14" s="97">
        <v>0</v>
      </c>
      <c r="H14" s="97">
        <v>0</v>
      </c>
      <c r="I14" s="99"/>
      <c r="J14" s="91"/>
      <c r="K14" s="97">
        <v>0</v>
      </c>
      <c r="L14" s="97">
        <v>0</v>
      </c>
      <c r="M14" s="97">
        <v>0</v>
      </c>
      <c r="N14" s="97"/>
      <c r="O14" s="91"/>
      <c r="P14" s="90"/>
      <c r="Q14" s="90"/>
      <c r="R14" s="90"/>
      <c r="S14" s="91"/>
      <c r="T14" s="96">
        <f t="shared" si="0"/>
        <v>0</v>
      </c>
      <c r="U14" s="96">
        <f t="shared" si="1"/>
        <v>0</v>
      </c>
      <c r="V14" s="96">
        <f t="shared" si="2"/>
        <v>0</v>
      </c>
    </row>
    <row r="15" spans="1:22" ht="19.5" x14ac:dyDescent="0.25">
      <c r="A15" s="92" t="s">
        <v>28</v>
      </c>
      <c r="B15" s="97">
        <v>0</v>
      </c>
      <c r="C15" s="97">
        <v>0</v>
      </c>
      <c r="D15" s="97">
        <v>0</v>
      </c>
      <c r="E15" s="91"/>
      <c r="F15" s="97">
        <v>0</v>
      </c>
      <c r="G15" s="97">
        <v>0</v>
      </c>
      <c r="H15" s="97">
        <v>0</v>
      </c>
      <c r="I15" s="99"/>
      <c r="J15" s="91"/>
      <c r="K15" s="97">
        <v>0</v>
      </c>
      <c r="L15" s="97">
        <v>0</v>
      </c>
      <c r="M15" s="97">
        <v>0</v>
      </c>
      <c r="N15" s="97"/>
      <c r="O15" s="91"/>
      <c r="P15" s="90"/>
      <c r="Q15" s="90"/>
      <c r="R15" s="90"/>
      <c r="S15" s="91"/>
      <c r="T15" s="96">
        <f t="shared" si="0"/>
        <v>0</v>
      </c>
      <c r="U15" s="96">
        <f t="shared" si="1"/>
        <v>0</v>
      </c>
      <c r="V15" s="96">
        <f t="shared" si="2"/>
        <v>0</v>
      </c>
    </row>
    <row r="16" spans="1:22" ht="19.5" x14ac:dyDescent="0.25">
      <c r="A16" s="92" t="s">
        <v>29</v>
      </c>
      <c r="B16" s="97">
        <v>0</v>
      </c>
      <c r="C16" s="97">
        <v>0</v>
      </c>
      <c r="D16" s="97">
        <v>0</v>
      </c>
      <c r="E16" s="91"/>
      <c r="F16" s="97">
        <v>0</v>
      </c>
      <c r="G16" s="97">
        <v>0</v>
      </c>
      <c r="H16" s="97">
        <v>0</v>
      </c>
      <c r="I16" s="99"/>
      <c r="J16" s="91"/>
      <c r="K16" s="97">
        <v>0</v>
      </c>
      <c r="L16" s="97">
        <v>0</v>
      </c>
      <c r="M16" s="97">
        <v>0</v>
      </c>
      <c r="N16" s="97"/>
      <c r="O16" s="91"/>
      <c r="P16" s="90"/>
      <c r="Q16" s="90"/>
      <c r="R16" s="90"/>
      <c r="S16" s="91"/>
      <c r="T16" s="96">
        <f t="shared" si="0"/>
        <v>0</v>
      </c>
      <c r="U16" s="96">
        <f t="shared" si="1"/>
        <v>0</v>
      </c>
      <c r="V16" s="96">
        <f t="shared" si="2"/>
        <v>0</v>
      </c>
    </row>
    <row r="17" spans="1:22" ht="19.5" x14ac:dyDescent="0.25">
      <c r="A17" s="92" t="s">
        <v>30</v>
      </c>
      <c r="B17" s="97">
        <v>0</v>
      </c>
      <c r="C17" s="97">
        <v>0</v>
      </c>
      <c r="D17" s="97">
        <v>0</v>
      </c>
      <c r="E17" s="91"/>
      <c r="F17" s="97">
        <v>0</v>
      </c>
      <c r="G17" s="97">
        <v>0</v>
      </c>
      <c r="H17" s="97">
        <v>0</v>
      </c>
      <c r="I17" s="99"/>
      <c r="J17" s="91"/>
      <c r="K17" s="97">
        <v>0</v>
      </c>
      <c r="L17" s="97">
        <v>0</v>
      </c>
      <c r="M17" s="97">
        <v>0</v>
      </c>
      <c r="N17" s="97"/>
      <c r="O17" s="91"/>
      <c r="P17" s="90"/>
      <c r="Q17" s="90"/>
      <c r="R17" s="90"/>
      <c r="S17" s="91"/>
      <c r="T17" s="96">
        <f t="shared" si="0"/>
        <v>0</v>
      </c>
      <c r="U17" s="96">
        <f t="shared" si="1"/>
        <v>0</v>
      </c>
      <c r="V17" s="96">
        <f t="shared" si="2"/>
        <v>0</v>
      </c>
    </row>
    <row r="18" spans="1:22" ht="19.5" x14ac:dyDescent="0.25">
      <c r="A18" s="92" t="s">
        <v>32</v>
      </c>
      <c r="B18" s="97">
        <v>0</v>
      </c>
      <c r="C18" s="97">
        <v>0</v>
      </c>
      <c r="D18" s="97">
        <v>0</v>
      </c>
      <c r="E18" s="91"/>
      <c r="F18" s="97">
        <v>0</v>
      </c>
      <c r="G18" s="97">
        <v>0</v>
      </c>
      <c r="H18" s="97">
        <v>0</v>
      </c>
      <c r="I18" s="99"/>
      <c r="J18" s="91"/>
      <c r="K18" s="97">
        <v>0</v>
      </c>
      <c r="L18" s="97">
        <v>0</v>
      </c>
      <c r="M18" s="97">
        <v>0</v>
      </c>
      <c r="N18" s="97"/>
      <c r="O18" s="91"/>
      <c r="P18" s="90"/>
      <c r="Q18" s="90"/>
      <c r="R18" s="90"/>
      <c r="S18" s="91"/>
      <c r="T18" s="96">
        <f t="shared" si="0"/>
        <v>0</v>
      </c>
      <c r="U18" s="96">
        <f t="shared" si="1"/>
        <v>0</v>
      </c>
      <c r="V18" s="96">
        <f t="shared" si="2"/>
        <v>0</v>
      </c>
    </row>
    <row r="19" spans="1:22" ht="19.5" x14ac:dyDescent="0.25">
      <c r="A19" s="92" t="s">
        <v>33</v>
      </c>
      <c r="B19" s="97">
        <v>0</v>
      </c>
      <c r="C19" s="97">
        <v>0</v>
      </c>
      <c r="D19" s="97">
        <v>0</v>
      </c>
      <c r="E19" s="91"/>
      <c r="F19" s="97">
        <v>0</v>
      </c>
      <c r="G19" s="97">
        <v>0</v>
      </c>
      <c r="H19" s="97">
        <v>0</v>
      </c>
      <c r="I19" s="99"/>
      <c r="J19" s="91"/>
      <c r="K19" s="97">
        <v>0</v>
      </c>
      <c r="L19" s="97">
        <v>0</v>
      </c>
      <c r="M19" s="97">
        <v>0</v>
      </c>
      <c r="N19" s="97"/>
      <c r="O19" s="91"/>
      <c r="P19" s="90"/>
      <c r="Q19" s="90"/>
      <c r="R19" s="90"/>
      <c r="S19" s="91"/>
      <c r="T19" s="96">
        <f t="shared" si="0"/>
        <v>0</v>
      </c>
      <c r="U19" s="96">
        <f t="shared" si="1"/>
        <v>0</v>
      </c>
      <c r="V19" s="96">
        <f t="shared" si="2"/>
        <v>0</v>
      </c>
    </row>
    <row r="20" spans="1:22" ht="19.5" x14ac:dyDescent="0.25">
      <c r="A20" s="92" t="s">
        <v>34</v>
      </c>
      <c r="B20" s="97">
        <v>0</v>
      </c>
      <c r="C20" s="97">
        <v>0</v>
      </c>
      <c r="D20" s="97">
        <v>0</v>
      </c>
      <c r="E20" s="91"/>
      <c r="F20" s="97">
        <v>0</v>
      </c>
      <c r="G20" s="97">
        <v>0</v>
      </c>
      <c r="H20" s="97">
        <v>0</v>
      </c>
      <c r="I20" s="99"/>
      <c r="J20" s="91"/>
      <c r="K20" s="97">
        <v>0</v>
      </c>
      <c r="L20" s="97">
        <v>0</v>
      </c>
      <c r="M20" s="97">
        <v>0</v>
      </c>
      <c r="N20" s="97"/>
      <c r="O20" s="91"/>
      <c r="P20" s="90"/>
      <c r="Q20" s="90"/>
      <c r="R20" s="90"/>
      <c r="S20" s="91"/>
      <c r="T20" s="96">
        <f t="shared" si="0"/>
        <v>0</v>
      </c>
      <c r="U20" s="96">
        <f t="shared" si="1"/>
        <v>0</v>
      </c>
      <c r="V20" s="96">
        <f t="shared" si="2"/>
        <v>0</v>
      </c>
    </row>
    <row r="21" spans="1:22" ht="19.5" x14ac:dyDescent="0.25">
      <c r="A21" s="92" t="s">
        <v>35</v>
      </c>
      <c r="B21" s="97">
        <v>0</v>
      </c>
      <c r="C21" s="97">
        <v>0</v>
      </c>
      <c r="D21" s="97">
        <v>0</v>
      </c>
      <c r="E21" s="91"/>
      <c r="F21" s="97">
        <v>0</v>
      </c>
      <c r="G21" s="97">
        <v>0</v>
      </c>
      <c r="H21" s="97">
        <v>0</v>
      </c>
      <c r="I21" s="99"/>
      <c r="J21" s="91"/>
      <c r="K21" s="97">
        <v>0</v>
      </c>
      <c r="L21" s="97">
        <v>0</v>
      </c>
      <c r="M21" s="97">
        <v>0</v>
      </c>
      <c r="N21" s="97"/>
      <c r="O21" s="91"/>
      <c r="P21" s="90"/>
      <c r="Q21" s="90"/>
      <c r="R21" s="90"/>
      <c r="S21" s="91"/>
      <c r="T21" s="96">
        <f t="shared" si="0"/>
        <v>0</v>
      </c>
      <c r="U21" s="96">
        <f t="shared" si="1"/>
        <v>0</v>
      </c>
      <c r="V21" s="96">
        <f t="shared" si="2"/>
        <v>0</v>
      </c>
    </row>
    <row r="22" spans="1:22" ht="19.5" x14ac:dyDescent="0.25">
      <c r="A22" s="92" t="s">
        <v>36</v>
      </c>
      <c r="B22" s="97">
        <v>0</v>
      </c>
      <c r="C22" s="97">
        <v>0</v>
      </c>
      <c r="D22" s="97">
        <v>0</v>
      </c>
      <c r="E22" s="91"/>
      <c r="F22" s="97">
        <v>0</v>
      </c>
      <c r="G22" s="97">
        <v>0</v>
      </c>
      <c r="H22" s="97">
        <v>0</v>
      </c>
      <c r="I22" s="99"/>
      <c r="J22" s="91"/>
      <c r="K22" s="97">
        <v>0</v>
      </c>
      <c r="L22" s="97">
        <v>0</v>
      </c>
      <c r="M22" s="97">
        <v>0</v>
      </c>
      <c r="N22" s="97"/>
      <c r="O22" s="91"/>
      <c r="P22" s="90"/>
      <c r="Q22" s="90"/>
      <c r="R22" s="90"/>
      <c r="S22" s="91"/>
      <c r="T22" s="96">
        <f t="shared" si="0"/>
        <v>0</v>
      </c>
      <c r="U22" s="96">
        <f t="shared" si="1"/>
        <v>0</v>
      </c>
      <c r="V22" s="96">
        <f t="shared" si="2"/>
        <v>0</v>
      </c>
    </row>
  </sheetData>
  <sortState ref="A2:V22">
    <sortCondition descending="1" ref="U2:U22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S11" sqref="S11"/>
    </sheetView>
  </sheetViews>
  <sheetFormatPr defaultRowHeight="16.5" x14ac:dyDescent="0.25"/>
  <cols>
    <col min="1" max="1" width="18.25" style="4" bestFit="1" customWidth="1"/>
    <col min="2" max="2" width="18.25" bestFit="1" customWidth="1"/>
    <col min="3" max="3" width="0" style="4" hidden="1" customWidth="1"/>
    <col min="4" max="4" width="9" style="4"/>
    <col min="5" max="5" width="9" style="1"/>
    <col min="6" max="7" width="12.5" style="1" bestFit="1" customWidth="1"/>
    <col min="8" max="8" width="12.5" bestFit="1" customWidth="1"/>
  </cols>
  <sheetData>
    <row r="1" spans="1:8" ht="21.75" thickBot="1" x14ac:dyDescent="0.3">
      <c r="A1" s="67" t="s">
        <v>76</v>
      </c>
      <c r="B1" s="67" t="s">
        <v>75</v>
      </c>
      <c r="C1" s="67" t="s">
        <v>63</v>
      </c>
      <c r="D1" s="67" t="s">
        <v>70</v>
      </c>
      <c r="E1" s="67" t="s">
        <v>62</v>
      </c>
      <c r="F1" s="67" t="s">
        <v>60</v>
      </c>
      <c r="G1" s="67" t="s">
        <v>61</v>
      </c>
      <c r="H1" s="68" t="s">
        <v>69</v>
      </c>
    </row>
    <row r="2" spans="1:8" ht="21" x14ac:dyDescent="0.25">
      <c r="A2" s="135" t="s">
        <v>88</v>
      </c>
      <c r="B2" s="69" t="s">
        <v>58</v>
      </c>
      <c r="C2" s="69"/>
      <c r="D2" s="69">
        <v>100</v>
      </c>
      <c r="E2" s="69">
        <v>22</v>
      </c>
      <c r="F2" s="69">
        <v>14</v>
      </c>
      <c r="G2" s="69">
        <f t="shared" ref="G2:G12" si="0">E2-F2</f>
        <v>8</v>
      </c>
      <c r="H2" s="70">
        <f t="shared" ref="H2:H12" si="1">D2*G2</f>
        <v>800</v>
      </c>
    </row>
    <row r="3" spans="1:8" ht="21.75" thickBot="1" x14ac:dyDescent="0.3">
      <c r="A3" s="136"/>
      <c r="B3" s="71" t="s">
        <v>59</v>
      </c>
      <c r="C3" s="71"/>
      <c r="D3" s="71">
        <v>100</v>
      </c>
      <c r="E3" s="71">
        <v>22</v>
      </c>
      <c r="F3" s="71">
        <v>5</v>
      </c>
      <c r="G3" s="71">
        <f t="shared" si="0"/>
        <v>17</v>
      </c>
      <c r="H3" s="72">
        <f t="shared" si="1"/>
        <v>1700</v>
      </c>
    </row>
    <row r="4" spans="1:8" ht="21" hidden="1" x14ac:dyDescent="0.25">
      <c r="A4" s="135" t="s">
        <v>77</v>
      </c>
      <c r="B4" s="69" t="s">
        <v>64</v>
      </c>
      <c r="C4" s="69"/>
      <c r="D4" s="69">
        <v>70</v>
      </c>
      <c r="E4" s="69">
        <v>3</v>
      </c>
      <c r="F4" s="69">
        <v>3</v>
      </c>
      <c r="G4" s="69">
        <f t="shared" si="0"/>
        <v>0</v>
      </c>
      <c r="H4" s="70">
        <f t="shared" si="1"/>
        <v>0</v>
      </c>
    </row>
    <row r="5" spans="1:8" ht="21" hidden="1" x14ac:dyDescent="0.25">
      <c r="A5" s="137"/>
      <c r="B5" s="18" t="s">
        <v>65</v>
      </c>
      <c r="C5" s="18"/>
      <c r="D5" s="18">
        <v>70</v>
      </c>
      <c r="E5" s="18">
        <v>3</v>
      </c>
      <c r="F5" s="18">
        <v>3</v>
      </c>
      <c r="G5" s="18">
        <f t="shared" si="0"/>
        <v>0</v>
      </c>
      <c r="H5" s="73">
        <f t="shared" si="1"/>
        <v>0</v>
      </c>
    </row>
    <row r="6" spans="1:8" ht="21" x14ac:dyDescent="0.25">
      <c r="A6" s="137"/>
      <c r="B6" s="56" t="s">
        <v>66</v>
      </c>
      <c r="C6" s="45"/>
      <c r="D6" s="40">
        <v>70</v>
      </c>
      <c r="E6" s="40">
        <v>10</v>
      </c>
      <c r="F6" s="40">
        <v>3</v>
      </c>
      <c r="G6" s="40">
        <f t="shared" si="0"/>
        <v>7</v>
      </c>
      <c r="H6" s="42">
        <f t="shared" si="1"/>
        <v>490</v>
      </c>
    </row>
    <row r="7" spans="1:8" ht="21" x14ac:dyDescent="0.25">
      <c r="A7" s="137"/>
      <c r="B7" s="56" t="s">
        <v>67</v>
      </c>
      <c r="C7" s="45"/>
      <c r="D7" s="40">
        <v>70</v>
      </c>
      <c r="E7" s="40">
        <v>10</v>
      </c>
      <c r="F7" s="40">
        <v>4</v>
      </c>
      <c r="G7" s="40">
        <f t="shared" si="0"/>
        <v>6</v>
      </c>
      <c r="H7" s="42">
        <f t="shared" si="1"/>
        <v>420</v>
      </c>
    </row>
    <row r="8" spans="1:8" ht="21.75" thickBot="1" x14ac:dyDescent="0.3">
      <c r="A8" s="136"/>
      <c r="B8" s="74" t="s">
        <v>68</v>
      </c>
      <c r="C8" s="48"/>
      <c r="D8" s="49">
        <v>70</v>
      </c>
      <c r="E8" s="49">
        <v>10</v>
      </c>
      <c r="F8" s="49">
        <v>2</v>
      </c>
      <c r="G8" s="49">
        <f t="shared" si="0"/>
        <v>8</v>
      </c>
      <c r="H8" s="75">
        <f t="shared" si="1"/>
        <v>560</v>
      </c>
    </row>
    <row r="9" spans="1:8" ht="21.75" thickBot="1" x14ac:dyDescent="0.3">
      <c r="A9" s="76" t="s">
        <v>78</v>
      </c>
      <c r="B9" s="77" t="s">
        <v>71</v>
      </c>
      <c r="C9" s="78"/>
      <c r="D9" s="79">
        <v>200</v>
      </c>
      <c r="E9" s="79">
        <v>20</v>
      </c>
      <c r="F9" s="79">
        <v>14</v>
      </c>
      <c r="G9" s="79">
        <f t="shared" si="0"/>
        <v>6</v>
      </c>
      <c r="H9" s="80">
        <f t="shared" si="1"/>
        <v>1200</v>
      </c>
    </row>
    <row r="10" spans="1:8" ht="21" x14ac:dyDescent="0.25">
      <c r="A10" s="138" t="s">
        <v>79</v>
      </c>
      <c r="B10" s="86" t="s">
        <v>72</v>
      </c>
      <c r="C10" s="87"/>
      <c r="D10" s="88">
        <v>80</v>
      </c>
      <c r="E10" s="88">
        <v>18</v>
      </c>
      <c r="F10" s="88">
        <v>17</v>
      </c>
      <c r="G10" s="88">
        <f t="shared" si="0"/>
        <v>1</v>
      </c>
      <c r="H10" s="89">
        <f t="shared" si="1"/>
        <v>80</v>
      </c>
    </row>
    <row r="11" spans="1:8" ht="21" x14ac:dyDescent="0.25">
      <c r="A11" s="139"/>
      <c r="B11" s="56" t="s">
        <v>73</v>
      </c>
      <c r="C11" s="45"/>
      <c r="D11" s="40">
        <v>80</v>
      </c>
      <c r="E11" s="40">
        <v>12</v>
      </c>
      <c r="F11" s="40">
        <v>11</v>
      </c>
      <c r="G11" s="40">
        <f t="shared" si="0"/>
        <v>1</v>
      </c>
      <c r="H11" s="42">
        <f t="shared" si="1"/>
        <v>80</v>
      </c>
    </row>
    <row r="12" spans="1:8" s="4" customFormat="1" ht="21.75" thickBot="1" x14ac:dyDescent="0.3">
      <c r="A12" s="140"/>
      <c r="B12" s="74" t="s">
        <v>74</v>
      </c>
      <c r="C12" s="48"/>
      <c r="D12" s="49">
        <v>50</v>
      </c>
      <c r="E12" s="49">
        <v>36</v>
      </c>
      <c r="F12" s="49">
        <v>25</v>
      </c>
      <c r="G12" s="49">
        <f t="shared" si="0"/>
        <v>11</v>
      </c>
      <c r="H12" s="75">
        <f t="shared" si="1"/>
        <v>550</v>
      </c>
    </row>
    <row r="13" spans="1:8" s="4" customFormat="1" ht="21" x14ac:dyDescent="0.25">
      <c r="A13" s="58"/>
      <c r="B13" s="81"/>
      <c r="C13" s="82"/>
      <c r="D13" s="82"/>
      <c r="E13" s="83"/>
      <c r="F13" s="83"/>
      <c r="G13" s="84"/>
      <c r="H13" s="85"/>
    </row>
    <row r="14" spans="1:8" ht="21" x14ac:dyDescent="0.25">
      <c r="A14" s="141" t="s">
        <v>80</v>
      </c>
      <c r="B14" s="142"/>
      <c r="C14" s="142"/>
      <c r="D14" s="142"/>
      <c r="E14" s="142"/>
      <c r="F14" s="142"/>
      <c r="G14" s="143"/>
      <c r="H14" s="59">
        <f>SUM(H2:H12)</f>
        <v>5880</v>
      </c>
    </row>
  </sheetData>
  <autoFilter ref="A1:H1"/>
  <mergeCells count="4">
    <mergeCell ref="A2:A3"/>
    <mergeCell ref="A4:A8"/>
    <mergeCell ref="A10:A12"/>
    <mergeCell ref="A14:G1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A25" workbookViewId="0">
      <selection activeCell="M27" sqref="M27"/>
    </sheetView>
  </sheetViews>
  <sheetFormatPr defaultRowHeight="16.5" x14ac:dyDescent="0.25"/>
  <cols>
    <col min="1" max="1" width="12.625" style="4" bestFit="1" customWidth="1"/>
    <col min="2" max="2" width="14.625" style="15" bestFit="1" customWidth="1"/>
    <col min="3" max="3" width="13.125" style="15" bestFit="1" customWidth="1"/>
    <col min="4" max="6" width="14.625" style="15" bestFit="1" customWidth="1"/>
    <col min="7" max="20" width="8.5" style="15" bestFit="1" customWidth="1"/>
    <col min="21" max="21" width="8.5" style="15" customWidth="1"/>
    <col min="22" max="22" width="6.75" style="15" bestFit="1" customWidth="1"/>
    <col min="23" max="23" width="10.25" style="15" bestFit="1" customWidth="1"/>
    <col min="24" max="16384" width="9" style="4"/>
  </cols>
  <sheetData>
    <row r="1" spans="1:6" ht="21" x14ac:dyDescent="0.25">
      <c r="A1" s="60" t="s">
        <v>6</v>
      </c>
      <c r="B1" s="14">
        <v>44529</v>
      </c>
      <c r="C1" s="14">
        <v>44536</v>
      </c>
      <c r="D1" s="14">
        <v>44543</v>
      </c>
      <c r="E1" s="14">
        <v>44550</v>
      </c>
      <c r="F1" s="14">
        <v>44557</v>
      </c>
    </row>
    <row r="2" spans="1:6" ht="21" x14ac:dyDescent="0.25">
      <c r="A2" s="61" t="s">
        <v>33</v>
      </c>
      <c r="B2" s="62">
        <v>3</v>
      </c>
      <c r="C2" s="62">
        <v>3</v>
      </c>
      <c r="D2" s="62">
        <v>3</v>
      </c>
      <c r="E2" s="62">
        <v>3</v>
      </c>
      <c r="F2" s="62">
        <v>3</v>
      </c>
    </row>
    <row r="3" spans="1:6" ht="21" x14ac:dyDescent="0.25">
      <c r="A3" s="61" t="s">
        <v>35</v>
      </c>
      <c r="B3" s="62">
        <v>4</v>
      </c>
      <c r="C3" s="62">
        <v>4</v>
      </c>
      <c r="D3" s="62">
        <v>4</v>
      </c>
      <c r="E3" s="62">
        <v>4</v>
      </c>
      <c r="F3" s="62">
        <v>4</v>
      </c>
    </row>
    <row r="4" spans="1:6" ht="21" x14ac:dyDescent="0.25">
      <c r="A4" s="61" t="s">
        <v>34</v>
      </c>
      <c r="B4" s="62">
        <v>3</v>
      </c>
      <c r="C4" s="62">
        <v>5</v>
      </c>
      <c r="D4" s="62">
        <v>5</v>
      </c>
      <c r="E4" s="62">
        <v>5</v>
      </c>
      <c r="F4" s="62">
        <v>5</v>
      </c>
    </row>
    <row r="5" spans="1:6" ht="21" x14ac:dyDescent="0.25">
      <c r="A5" s="61" t="s">
        <v>43</v>
      </c>
      <c r="B5" s="62">
        <v>6</v>
      </c>
      <c r="C5" s="62">
        <v>6</v>
      </c>
      <c r="D5" s="62">
        <v>6</v>
      </c>
      <c r="E5" s="62">
        <v>6</v>
      </c>
      <c r="F5" s="62">
        <v>6</v>
      </c>
    </row>
    <row r="6" spans="1:6" ht="21" x14ac:dyDescent="0.25">
      <c r="A6" s="61" t="s">
        <v>28</v>
      </c>
      <c r="B6" s="62">
        <v>6</v>
      </c>
      <c r="C6" s="62">
        <v>6</v>
      </c>
      <c r="D6" s="62">
        <v>6</v>
      </c>
      <c r="E6" s="62">
        <v>6</v>
      </c>
      <c r="F6" s="62">
        <v>6</v>
      </c>
    </row>
    <row r="7" spans="1:6" ht="21" x14ac:dyDescent="0.25">
      <c r="A7" s="61" t="s">
        <v>27</v>
      </c>
      <c r="B7" s="62">
        <v>6</v>
      </c>
      <c r="C7" s="62">
        <v>7</v>
      </c>
      <c r="D7" s="62">
        <v>7</v>
      </c>
      <c r="E7" s="62">
        <v>7</v>
      </c>
      <c r="F7" s="62">
        <v>7</v>
      </c>
    </row>
    <row r="8" spans="1:6" ht="21" x14ac:dyDescent="0.25">
      <c r="A8" s="61" t="s">
        <v>32</v>
      </c>
      <c r="B8" s="62">
        <v>8</v>
      </c>
      <c r="C8" s="62">
        <v>8</v>
      </c>
      <c r="D8" s="62">
        <v>8</v>
      </c>
      <c r="E8" s="62">
        <v>8</v>
      </c>
      <c r="F8" s="62">
        <v>8</v>
      </c>
    </row>
    <row r="9" spans="1:6" ht="21" x14ac:dyDescent="0.25">
      <c r="A9" s="61" t="s">
        <v>30</v>
      </c>
      <c r="B9" s="62">
        <v>7</v>
      </c>
      <c r="C9" s="62">
        <v>7</v>
      </c>
      <c r="D9" s="62">
        <v>8</v>
      </c>
      <c r="E9" s="62">
        <v>8</v>
      </c>
      <c r="F9" s="62">
        <v>9</v>
      </c>
    </row>
    <row r="10" spans="1:6" ht="21" x14ac:dyDescent="0.25">
      <c r="A10" s="61" t="s">
        <v>29</v>
      </c>
      <c r="B10" s="62">
        <v>8</v>
      </c>
      <c r="C10" s="62">
        <v>8</v>
      </c>
      <c r="D10" s="62">
        <v>9</v>
      </c>
      <c r="E10" s="62">
        <v>9</v>
      </c>
      <c r="F10" s="62">
        <v>10</v>
      </c>
    </row>
    <row r="11" spans="1:6" ht="21" x14ac:dyDescent="0.25">
      <c r="A11" s="61" t="s">
        <v>36</v>
      </c>
      <c r="B11" s="62">
        <v>14</v>
      </c>
      <c r="C11" s="62">
        <v>14</v>
      </c>
      <c r="D11" s="62">
        <v>14</v>
      </c>
      <c r="E11" s="62">
        <v>14</v>
      </c>
      <c r="F11" s="62">
        <v>14</v>
      </c>
    </row>
    <row r="12" spans="1:6" ht="21" x14ac:dyDescent="0.25">
      <c r="A12" s="61" t="s">
        <v>26</v>
      </c>
      <c r="B12" s="62">
        <v>11</v>
      </c>
      <c r="C12" s="62">
        <v>13</v>
      </c>
      <c r="D12" s="62">
        <v>15</v>
      </c>
      <c r="E12" s="62">
        <v>15</v>
      </c>
      <c r="F12" s="62">
        <v>16</v>
      </c>
    </row>
    <row r="13" spans="1:6" ht="21" x14ac:dyDescent="0.25">
      <c r="A13" s="61" t="s">
        <v>24</v>
      </c>
      <c r="B13" s="62">
        <v>16</v>
      </c>
      <c r="C13" s="62">
        <v>17</v>
      </c>
      <c r="D13" s="62">
        <v>18</v>
      </c>
      <c r="E13" s="62">
        <v>19</v>
      </c>
      <c r="F13" s="62">
        <v>19</v>
      </c>
    </row>
    <row r="14" spans="1:6" ht="21" x14ac:dyDescent="0.25">
      <c r="A14" s="61" t="s">
        <v>25</v>
      </c>
      <c r="B14" s="62">
        <v>18</v>
      </c>
      <c r="C14" s="62">
        <v>23</v>
      </c>
      <c r="D14" s="62">
        <v>22</v>
      </c>
      <c r="E14" s="62">
        <v>22</v>
      </c>
      <c r="F14" s="62">
        <v>22</v>
      </c>
    </row>
    <row r="15" spans="1:6" ht="21" x14ac:dyDescent="0.25">
      <c r="A15" s="61" t="s">
        <v>82</v>
      </c>
      <c r="B15" s="62">
        <v>0</v>
      </c>
      <c r="C15" s="62">
        <v>0</v>
      </c>
      <c r="D15" s="62">
        <v>0</v>
      </c>
      <c r="E15" s="62">
        <v>21</v>
      </c>
      <c r="F15" s="62">
        <v>26</v>
      </c>
    </row>
    <row r="16" spans="1:6" ht="21" x14ac:dyDescent="0.25">
      <c r="A16" s="61" t="s">
        <v>31</v>
      </c>
      <c r="B16" s="62">
        <v>22</v>
      </c>
      <c r="C16" s="62">
        <v>28</v>
      </c>
      <c r="D16" s="62">
        <v>28</v>
      </c>
      <c r="E16" s="62">
        <v>28</v>
      </c>
      <c r="F16" s="62">
        <v>29</v>
      </c>
    </row>
    <row r="17" spans="1:6" ht="21" x14ac:dyDescent="0.25">
      <c r="A17" s="61" t="s">
        <v>22</v>
      </c>
      <c r="B17" s="62">
        <v>31</v>
      </c>
      <c r="C17" s="62">
        <v>34</v>
      </c>
      <c r="D17" s="62">
        <v>35</v>
      </c>
      <c r="E17" s="62">
        <v>35</v>
      </c>
      <c r="F17" s="62">
        <v>38</v>
      </c>
    </row>
    <row r="18" spans="1:6" ht="21" x14ac:dyDescent="0.25">
      <c r="A18" s="61" t="s">
        <v>23</v>
      </c>
      <c r="B18" s="62">
        <v>32</v>
      </c>
      <c r="C18" s="62">
        <v>40</v>
      </c>
      <c r="D18" s="62">
        <v>44</v>
      </c>
      <c r="E18" s="62">
        <v>44</v>
      </c>
      <c r="F18" s="62">
        <v>43</v>
      </c>
    </row>
    <row r="19" spans="1:6" ht="21" x14ac:dyDescent="0.25">
      <c r="A19" s="61" t="s">
        <v>21</v>
      </c>
      <c r="B19" s="62">
        <v>38</v>
      </c>
      <c r="C19" s="62">
        <v>50</v>
      </c>
      <c r="D19" s="62">
        <v>54</v>
      </c>
      <c r="E19" s="62">
        <v>54</v>
      </c>
      <c r="F19" s="62">
        <v>54</v>
      </c>
    </row>
    <row r="20" spans="1:6" ht="21" x14ac:dyDescent="0.25">
      <c r="A20" s="61" t="s">
        <v>20</v>
      </c>
      <c r="B20" s="62">
        <v>64</v>
      </c>
      <c r="C20" s="62">
        <v>66</v>
      </c>
      <c r="D20" s="62">
        <v>68</v>
      </c>
      <c r="E20" s="62">
        <v>68</v>
      </c>
      <c r="F20" s="62">
        <v>69</v>
      </c>
    </row>
    <row r="21" spans="1:6" ht="21" x14ac:dyDescent="0.25">
      <c r="A21" s="61" t="s">
        <v>19</v>
      </c>
      <c r="B21" s="62">
        <v>62</v>
      </c>
      <c r="C21" s="62">
        <v>65</v>
      </c>
      <c r="D21" s="62">
        <v>72</v>
      </c>
      <c r="E21" s="62">
        <v>85</v>
      </c>
      <c r="F21" s="62">
        <v>84</v>
      </c>
    </row>
    <row r="22" spans="1:6" ht="21" x14ac:dyDescent="0.25">
      <c r="A22" s="60" t="s">
        <v>42</v>
      </c>
      <c r="B22" s="14" t="s">
        <v>81</v>
      </c>
      <c r="C22" s="14" t="s">
        <v>81</v>
      </c>
      <c r="D22" s="14" t="s">
        <v>81</v>
      </c>
      <c r="E22" s="14" t="s">
        <v>81</v>
      </c>
      <c r="F22" s="14" t="s">
        <v>81</v>
      </c>
    </row>
    <row r="23" spans="1:6" ht="21" x14ac:dyDescent="0.25">
      <c r="A23" s="61" t="s">
        <v>44</v>
      </c>
      <c r="B23" s="62">
        <f>SUM(B3:B22)</f>
        <v>356</v>
      </c>
      <c r="C23" s="62">
        <f>SUM(C3:C22)</f>
        <v>401</v>
      </c>
      <c r="D23" s="62">
        <f>SUM(D3:D22)</f>
        <v>423</v>
      </c>
      <c r="E23" s="62">
        <f>SUM(E3:E22)</f>
        <v>458</v>
      </c>
      <c r="F23" s="62">
        <f>SUM(F3:F22)</f>
        <v>469</v>
      </c>
    </row>
    <row r="24" spans="1:6" ht="21" x14ac:dyDescent="0.25">
      <c r="A24" s="61" t="s">
        <v>45</v>
      </c>
      <c r="B24" s="63"/>
      <c r="C24" s="63">
        <f>(C23-B23)/C23</f>
        <v>0.11221945137157108</v>
      </c>
      <c r="D24" s="63">
        <f>(D23-C23)/D23</f>
        <v>5.2009456264775412E-2</v>
      </c>
      <c r="E24" s="63">
        <f>(E23-D23)/E23</f>
        <v>7.6419213973799124E-2</v>
      </c>
      <c r="F24" s="63">
        <f>(F23-E23)/F23</f>
        <v>2.3454157782515993E-2</v>
      </c>
    </row>
  </sheetData>
  <sortState ref="A2:F21">
    <sortCondition ref="F2:F21"/>
  </sortState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71" activePane="bottomLeft" state="frozen"/>
      <selection pane="bottomLeft" activeCell="C64" sqref="C64"/>
    </sheetView>
  </sheetViews>
  <sheetFormatPr defaultRowHeight="16.5" x14ac:dyDescent="0.25"/>
  <cols>
    <col min="1" max="1" width="10.5" bestFit="1" customWidth="1"/>
    <col min="2" max="2" width="9.5" bestFit="1" customWidth="1"/>
    <col min="3" max="3" width="5.5" bestFit="1" customWidth="1"/>
    <col min="4" max="5" width="7.5" bestFit="1" customWidth="1"/>
    <col min="6" max="6" width="9.5" bestFit="1" customWidth="1"/>
  </cols>
  <sheetData>
    <row r="1" spans="1:6" x14ac:dyDescent="0.25">
      <c r="A1" s="19" t="s">
        <v>149</v>
      </c>
      <c r="B1" s="19" t="s">
        <v>151</v>
      </c>
      <c r="C1" s="19" t="s">
        <v>150</v>
      </c>
      <c r="D1" s="19" t="s">
        <v>152</v>
      </c>
      <c r="E1" s="19" t="s">
        <v>153</v>
      </c>
      <c r="F1" s="19" t="s">
        <v>154</v>
      </c>
    </row>
    <row r="2" spans="1:6" x14ac:dyDescent="0.25">
      <c r="A2" s="105">
        <v>44533</v>
      </c>
      <c r="B2" s="5" t="s">
        <v>19</v>
      </c>
      <c r="C2" s="5">
        <v>62</v>
      </c>
      <c r="D2" s="5">
        <v>30</v>
      </c>
      <c r="E2" s="5">
        <v>3828</v>
      </c>
      <c r="F2" s="5">
        <v>857</v>
      </c>
    </row>
    <row r="3" spans="1:6" x14ac:dyDescent="0.25">
      <c r="A3" s="104">
        <v>44533</v>
      </c>
      <c r="B3" s="5" t="s">
        <v>23</v>
      </c>
      <c r="C3" s="5">
        <v>32</v>
      </c>
      <c r="D3" s="5">
        <v>9</v>
      </c>
      <c r="E3" s="5">
        <v>1146</v>
      </c>
      <c r="F3" s="5">
        <v>279</v>
      </c>
    </row>
    <row r="4" spans="1:6" x14ac:dyDescent="0.25">
      <c r="A4" s="104">
        <v>44533</v>
      </c>
      <c r="B4" s="5" t="s">
        <v>21</v>
      </c>
      <c r="C4" s="5">
        <v>38</v>
      </c>
      <c r="D4" s="5">
        <v>12</v>
      </c>
      <c r="E4" s="5">
        <v>1563</v>
      </c>
      <c r="F4" s="5">
        <v>277</v>
      </c>
    </row>
    <row r="5" spans="1:6" x14ac:dyDescent="0.25">
      <c r="A5" s="104">
        <v>44533</v>
      </c>
      <c r="B5" s="5" t="s">
        <v>20</v>
      </c>
      <c r="C5" s="5">
        <v>64</v>
      </c>
      <c r="D5" s="5">
        <v>9</v>
      </c>
      <c r="E5" s="5">
        <v>1304</v>
      </c>
      <c r="F5" s="5">
        <v>276</v>
      </c>
    </row>
    <row r="6" spans="1:6" x14ac:dyDescent="0.25">
      <c r="A6" s="104">
        <v>44533</v>
      </c>
      <c r="B6" s="5" t="s">
        <v>22</v>
      </c>
      <c r="C6" s="5">
        <v>31</v>
      </c>
      <c r="D6" s="5">
        <v>17</v>
      </c>
      <c r="E6" s="5">
        <v>2562</v>
      </c>
      <c r="F6" s="5">
        <v>573</v>
      </c>
    </row>
    <row r="7" spans="1:6" x14ac:dyDescent="0.25">
      <c r="A7" s="104">
        <v>44533</v>
      </c>
      <c r="B7" s="5" t="s">
        <v>25</v>
      </c>
      <c r="C7" s="5">
        <v>18</v>
      </c>
      <c r="D7" s="5">
        <v>7</v>
      </c>
      <c r="E7" s="5">
        <v>1014</v>
      </c>
      <c r="F7" s="5">
        <v>211</v>
      </c>
    </row>
    <row r="8" spans="1:6" x14ac:dyDescent="0.25">
      <c r="A8" s="104">
        <v>44533</v>
      </c>
      <c r="B8" s="5" t="s">
        <v>89</v>
      </c>
      <c r="C8" s="5">
        <v>0</v>
      </c>
      <c r="D8" s="5">
        <v>0</v>
      </c>
      <c r="E8" s="5">
        <v>0</v>
      </c>
      <c r="F8" s="5">
        <v>0</v>
      </c>
    </row>
    <row r="9" spans="1:6" x14ac:dyDescent="0.25">
      <c r="A9" s="104">
        <v>44533</v>
      </c>
      <c r="B9" s="5" t="s">
        <v>31</v>
      </c>
      <c r="C9" s="5">
        <v>22</v>
      </c>
      <c r="D9" s="5">
        <v>0</v>
      </c>
      <c r="E9" s="5">
        <v>0</v>
      </c>
      <c r="F9" s="5">
        <v>0</v>
      </c>
    </row>
    <row r="10" spans="1:6" x14ac:dyDescent="0.25">
      <c r="A10" s="104">
        <v>44533</v>
      </c>
      <c r="B10" s="5" t="s">
        <v>26</v>
      </c>
      <c r="C10" s="5">
        <v>11</v>
      </c>
      <c r="D10" s="5">
        <v>4</v>
      </c>
      <c r="E10" s="5">
        <v>640</v>
      </c>
      <c r="F10" s="5">
        <v>160</v>
      </c>
    </row>
    <row r="11" spans="1:6" x14ac:dyDescent="0.25">
      <c r="A11" s="104">
        <v>44533</v>
      </c>
      <c r="B11" s="5" t="s">
        <v>24</v>
      </c>
      <c r="C11" s="5">
        <v>16</v>
      </c>
      <c r="D11" s="5">
        <v>5</v>
      </c>
      <c r="E11" s="5">
        <v>777</v>
      </c>
      <c r="F11" s="5">
        <v>163</v>
      </c>
    </row>
    <row r="12" spans="1:6" x14ac:dyDescent="0.25">
      <c r="A12" s="104">
        <v>44533</v>
      </c>
      <c r="B12" s="5" t="s">
        <v>43</v>
      </c>
      <c r="C12" s="5">
        <v>6</v>
      </c>
      <c r="D12" s="5">
        <v>0</v>
      </c>
      <c r="E12" s="5">
        <v>0</v>
      </c>
      <c r="F12" s="5">
        <v>0</v>
      </c>
    </row>
    <row r="13" spans="1:6" x14ac:dyDescent="0.25">
      <c r="A13" s="104">
        <v>44533</v>
      </c>
      <c r="B13" s="5" t="s">
        <v>27</v>
      </c>
      <c r="C13" s="5">
        <v>6</v>
      </c>
      <c r="D13" s="5">
        <v>0</v>
      </c>
      <c r="E13" s="5">
        <v>0</v>
      </c>
      <c r="F13" s="5">
        <v>0</v>
      </c>
    </row>
    <row r="14" spans="1:6" x14ac:dyDescent="0.25">
      <c r="A14" s="104">
        <v>44533</v>
      </c>
      <c r="B14" s="5" t="s">
        <v>28</v>
      </c>
      <c r="C14" s="5">
        <v>6</v>
      </c>
      <c r="D14" s="5">
        <v>0</v>
      </c>
      <c r="E14" s="5">
        <v>0</v>
      </c>
      <c r="F14" s="5">
        <v>0</v>
      </c>
    </row>
    <row r="15" spans="1:6" x14ac:dyDescent="0.25">
      <c r="A15" s="104">
        <v>44533</v>
      </c>
      <c r="B15" s="5" t="s">
        <v>29</v>
      </c>
      <c r="C15" s="5">
        <v>8</v>
      </c>
      <c r="D15" s="5">
        <v>0</v>
      </c>
      <c r="E15" s="5">
        <v>0</v>
      </c>
      <c r="F15" s="5">
        <v>0</v>
      </c>
    </row>
    <row r="16" spans="1:6" x14ac:dyDescent="0.25">
      <c r="A16" s="104">
        <v>44533</v>
      </c>
      <c r="B16" s="5" t="s">
        <v>30</v>
      </c>
      <c r="C16" s="5">
        <v>7</v>
      </c>
      <c r="D16" s="5">
        <v>0</v>
      </c>
      <c r="E16" s="5">
        <v>0</v>
      </c>
      <c r="F16" s="5">
        <v>0</v>
      </c>
    </row>
    <row r="17" spans="1:6" x14ac:dyDescent="0.25">
      <c r="A17" s="104">
        <v>44533</v>
      </c>
      <c r="B17" s="5" t="s">
        <v>32</v>
      </c>
      <c r="C17" s="5">
        <v>8</v>
      </c>
      <c r="D17" s="5">
        <v>0</v>
      </c>
      <c r="E17" s="5">
        <v>0</v>
      </c>
      <c r="F17" s="5">
        <v>0</v>
      </c>
    </row>
    <row r="18" spans="1:6" x14ac:dyDescent="0.25">
      <c r="A18" s="104">
        <v>44533</v>
      </c>
      <c r="B18" s="5" t="s">
        <v>33</v>
      </c>
      <c r="C18" s="5">
        <v>3</v>
      </c>
      <c r="D18" s="5">
        <v>0</v>
      </c>
      <c r="E18" s="5">
        <v>0</v>
      </c>
      <c r="F18" s="5">
        <v>0</v>
      </c>
    </row>
    <row r="19" spans="1:6" x14ac:dyDescent="0.25">
      <c r="A19" s="104">
        <v>44533</v>
      </c>
      <c r="B19" s="5" t="s">
        <v>34</v>
      </c>
      <c r="C19" s="5">
        <v>3</v>
      </c>
      <c r="D19" s="5">
        <v>0</v>
      </c>
      <c r="E19" s="5">
        <v>0</v>
      </c>
      <c r="F19" s="5">
        <v>0</v>
      </c>
    </row>
    <row r="20" spans="1:6" x14ac:dyDescent="0.25">
      <c r="A20" s="104">
        <v>44533</v>
      </c>
      <c r="B20" s="5" t="s">
        <v>35</v>
      </c>
      <c r="C20" s="5">
        <v>4</v>
      </c>
      <c r="D20" s="5">
        <v>0</v>
      </c>
      <c r="E20" s="5">
        <v>0</v>
      </c>
      <c r="F20" s="5">
        <v>0</v>
      </c>
    </row>
    <row r="21" spans="1:6" x14ac:dyDescent="0.25">
      <c r="A21" s="104">
        <v>44533</v>
      </c>
      <c r="B21" s="5" t="s">
        <v>36</v>
      </c>
      <c r="C21" s="5">
        <v>14</v>
      </c>
      <c r="D21" s="5">
        <v>0</v>
      </c>
      <c r="E21" s="5">
        <v>0</v>
      </c>
      <c r="F21" s="5">
        <v>0</v>
      </c>
    </row>
    <row r="22" spans="1:6" s="109" customFormat="1" x14ac:dyDescent="0.25">
      <c r="A22" s="110">
        <v>44540</v>
      </c>
      <c r="B22" s="108" t="s">
        <v>19</v>
      </c>
      <c r="C22" s="108">
        <v>65</v>
      </c>
      <c r="D22" s="108">
        <v>18</v>
      </c>
      <c r="E22" s="108">
        <v>2677</v>
      </c>
      <c r="F22" s="108">
        <v>523</v>
      </c>
    </row>
    <row r="23" spans="1:6" x14ac:dyDescent="0.25">
      <c r="A23" s="104">
        <v>44540</v>
      </c>
      <c r="B23" s="5" t="s">
        <v>23</v>
      </c>
      <c r="C23" s="5">
        <v>40</v>
      </c>
      <c r="D23" s="5">
        <v>10</v>
      </c>
      <c r="E23" s="5">
        <v>1530</v>
      </c>
      <c r="F23" s="5">
        <v>285</v>
      </c>
    </row>
    <row r="24" spans="1:6" x14ac:dyDescent="0.25">
      <c r="A24" s="104">
        <v>44540</v>
      </c>
      <c r="B24" s="5" t="s">
        <v>21</v>
      </c>
      <c r="C24" s="5">
        <v>50</v>
      </c>
      <c r="D24" s="5">
        <v>4</v>
      </c>
      <c r="E24" s="5">
        <v>543</v>
      </c>
      <c r="F24" s="5">
        <v>97</v>
      </c>
    </row>
    <row r="25" spans="1:6" x14ac:dyDescent="0.25">
      <c r="A25" s="104">
        <v>44540</v>
      </c>
      <c r="B25" s="5" t="s">
        <v>20</v>
      </c>
      <c r="C25" s="5">
        <v>66</v>
      </c>
      <c r="D25" s="5">
        <v>13</v>
      </c>
      <c r="E25" s="5">
        <v>1556</v>
      </c>
      <c r="F25" s="5">
        <v>344</v>
      </c>
    </row>
    <row r="26" spans="1:6" x14ac:dyDescent="0.25">
      <c r="A26" s="104">
        <v>44540</v>
      </c>
      <c r="B26" s="5" t="s">
        <v>22</v>
      </c>
      <c r="C26" s="5">
        <v>34</v>
      </c>
      <c r="D26" s="5">
        <v>0</v>
      </c>
      <c r="E26" s="5">
        <v>0</v>
      </c>
      <c r="F26" s="5">
        <v>0</v>
      </c>
    </row>
    <row r="27" spans="1:6" x14ac:dyDescent="0.25">
      <c r="A27" s="104">
        <v>44540</v>
      </c>
      <c r="B27" s="5" t="s">
        <v>25</v>
      </c>
      <c r="C27" s="5">
        <v>23</v>
      </c>
      <c r="D27" s="5">
        <v>6</v>
      </c>
      <c r="E27" s="5">
        <v>828</v>
      </c>
      <c r="F27" s="5">
        <v>182</v>
      </c>
    </row>
    <row r="28" spans="1:6" x14ac:dyDescent="0.25">
      <c r="A28" s="104">
        <v>44540</v>
      </c>
      <c r="B28" s="5" t="s">
        <v>89</v>
      </c>
      <c r="C28" s="5">
        <v>0</v>
      </c>
      <c r="D28" s="5">
        <v>0</v>
      </c>
      <c r="E28" s="5">
        <v>0</v>
      </c>
      <c r="F28" s="5">
        <v>0</v>
      </c>
    </row>
    <row r="29" spans="1:6" x14ac:dyDescent="0.25">
      <c r="A29" s="104">
        <v>44540</v>
      </c>
      <c r="B29" s="5" t="s">
        <v>31</v>
      </c>
      <c r="C29" s="5">
        <v>28</v>
      </c>
      <c r="D29" s="5">
        <v>7</v>
      </c>
      <c r="E29" s="5">
        <v>852</v>
      </c>
      <c r="F29" s="5">
        <v>178</v>
      </c>
    </row>
    <row r="30" spans="1:6" x14ac:dyDescent="0.25">
      <c r="A30" s="104">
        <v>44540</v>
      </c>
      <c r="B30" s="5" t="s">
        <v>26</v>
      </c>
      <c r="C30" s="5">
        <v>13</v>
      </c>
      <c r="D30" s="5">
        <v>4</v>
      </c>
      <c r="E30" s="5">
        <v>424</v>
      </c>
      <c r="F30" s="5">
        <v>96</v>
      </c>
    </row>
    <row r="31" spans="1:6" x14ac:dyDescent="0.25">
      <c r="A31" s="104">
        <v>44540</v>
      </c>
      <c r="B31" s="5" t="s">
        <v>24</v>
      </c>
      <c r="C31" s="5">
        <v>17</v>
      </c>
      <c r="D31" s="5">
        <v>0</v>
      </c>
      <c r="E31" s="5">
        <v>0</v>
      </c>
      <c r="F31" s="5">
        <v>0</v>
      </c>
    </row>
    <row r="32" spans="1:6" x14ac:dyDescent="0.25">
      <c r="A32" s="104">
        <v>44540</v>
      </c>
      <c r="B32" s="5" t="s">
        <v>43</v>
      </c>
      <c r="C32" s="5">
        <v>6</v>
      </c>
      <c r="D32" s="5">
        <v>0</v>
      </c>
      <c r="E32" s="5">
        <v>0</v>
      </c>
      <c r="F32" s="5">
        <v>0</v>
      </c>
    </row>
    <row r="33" spans="1:6" x14ac:dyDescent="0.25">
      <c r="A33" s="104">
        <v>44540</v>
      </c>
      <c r="B33" s="5" t="s">
        <v>27</v>
      </c>
      <c r="C33" s="5">
        <v>7</v>
      </c>
      <c r="D33" s="5">
        <v>0</v>
      </c>
      <c r="E33" s="5">
        <v>0</v>
      </c>
      <c r="F33" s="5">
        <v>0</v>
      </c>
    </row>
    <row r="34" spans="1:6" x14ac:dyDescent="0.25">
      <c r="A34" s="104">
        <v>44540</v>
      </c>
      <c r="B34" s="5" t="s">
        <v>28</v>
      </c>
      <c r="C34" s="5">
        <v>6</v>
      </c>
      <c r="D34" s="5">
        <v>0</v>
      </c>
      <c r="E34" s="5">
        <v>0</v>
      </c>
      <c r="F34" s="5">
        <v>0</v>
      </c>
    </row>
    <row r="35" spans="1:6" x14ac:dyDescent="0.25">
      <c r="A35" s="104">
        <v>44540</v>
      </c>
      <c r="B35" s="5" t="s">
        <v>29</v>
      </c>
      <c r="C35" s="5">
        <v>8</v>
      </c>
      <c r="D35" s="5">
        <v>0</v>
      </c>
      <c r="E35" s="5">
        <v>0</v>
      </c>
      <c r="F35" s="5">
        <v>0</v>
      </c>
    </row>
    <row r="36" spans="1:6" x14ac:dyDescent="0.25">
      <c r="A36" s="104">
        <v>44540</v>
      </c>
      <c r="B36" s="5" t="s">
        <v>30</v>
      </c>
      <c r="C36" s="5">
        <v>7</v>
      </c>
      <c r="D36" s="5">
        <v>0</v>
      </c>
      <c r="E36" s="5">
        <v>0</v>
      </c>
      <c r="F36" s="5">
        <v>0</v>
      </c>
    </row>
    <row r="37" spans="1:6" x14ac:dyDescent="0.25">
      <c r="A37" s="104">
        <v>44540</v>
      </c>
      <c r="B37" s="5" t="s">
        <v>32</v>
      </c>
      <c r="C37" s="5">
        <v>8</v>
      </c>
      <c r="D37" s="5">
        <v>0</v>
      </c>
      <c r="E37" s="5">
        <v>0</v>
      </c>
      <c r="F37" s="5">
        <v>0</v>
      </c>
    </row>
    <row r="38" spans="1:6" x14ac:dyDescent="0.25">
      <c r="A38" s="104">
        <v>44540</v>
      </c>
      <c r="B38" s="5" t="s">
        <v>33</v>
      </c>
      <c r="C38" s="5">
        <v>3</v>
      </c>
      <c r="D38" s="5">
        <v>0</v>
      </c>
      <c r="E38" s="5">
        <v>0</v>
      </c>
      <c r="F38" s="5">
        <v>0</v>
      </c>
    </row>
    <row r="39" spans="1:6" x14ac:dyDescent="0.25">
      <c r="A39" s="104">
        <v>44540</v>
      </c>
      <c r="B39" s="5" t="s">
        <v>34</v>
      </c>
      <c r="C39" s="5">
        <v>5</v>
      </c>
      <c r="D39" s="5">
        <v>0</v>
      </c>
      <c r="E39" s="5">
        <v>0</v>
      </c>
      <c r="F39" s="5">
        <v>0</v>
      </c>
    </row>
    <row r="40" spans="1:6" x14ac:dyDescent="0.25">
      <c r="A40" s="104">
        <v>44540</v>
      </c>
      <c r="B40" s="5" t="s">
        <v>35</v>
      </c>
      <c r="C40" s="5">
        <v>4</v>
      </c>
      <c r="D40" s="5">
        <v>0</v>
      </c>
      <c r="E40" s="5">
        <v>0</v>
      </c>
      <c r="F40" s="5">
        <v>0</v>
      </c>
    </row>
    <row r="41" spans="1:6" x14ac:dyDescent="0.25">
      <c r="A41" s="104">
        <v>44540</v>
      </c>
      <c r="B41" s="5" t="s">
        <v>36</v>
      </c>
      <c r="C41" s="5">
        <v>14</v>
      </c>
      <c r="D41" s="5">
        <v>0</v>
      </c>
      <c r="E41" s="5">
        <v>0</v>
      </c>
      <c r="F41" s="5">
        <v>0</v>
      </c>
    </row>
    <row r="42" spans="1:6" s="112" customFormat="1" x14ac:dyDescent="0.25">
      <c r="A42" s="113">
        <v>44547</v>
      </c>
      <c r="B42" s="111" t="s">
        <v>19</v>
      </c>
      <c r="C42" s="111">
        <v>72</v>
      </c>
      <c r="D42" s="111">
        <v>73</v>
      </c>
      <c r="E42" s="111">
        <v>5038</v>
      </c>
      <c r="F42" s="111">
        <v>721</v>
      </c>
    </row>
    <row r="43" spans="1:6" x14ac:dyDescent="0.25">
      <c r="A43" s="106">
        <v>44547</v>
      </c>
      <c r="B43" s="5" t="s">
        <v>23</v>
      </c>
      <c r="C43" s="5">
        <v>44</v>
      </c>
      <c r="D43" s="5">
        <v>24</v>
      </c>
      <c r="E43" s="5">
        <v>2738</v>
      </c>
      <c r="F43" s="5">
        <v>410</v>
      </c>
    </row>
    <row r="44" spans="1:6" x14ac:dyDescent="0.25">
      <c r="A44" s="107">
        <v>44547</v>
      </c>
      <c r="B44" s="5" t="s">
        <v>21</v>
      </c>
      <c r="C44" s="5">
        <v>54</v>
      </c>
      <c r="D44" s="5">
        <v>14</v>
      </c>
      <c r="E44" s="5">
        <v>1963</v>
      </c>
      <c r="F44" s="5">
        <v>267</v>
      </c>
    </row>
    <row r="45" spans="1:6" x14ac:dyDescent="0.25">
      <c r="A45" s="106">
        <v>44547</v>
      </c>
      <c r="B45" s="5" t="s">
        <v>20</v>
      </c>
      <c r="C45" s="5">
        <v>68</v>
      </c>
      <c r="D45" s="5">
        <v>13</v>
      </c>
      <c r="E45" s="5">
        <v>1044</v>
      </c>
      <c r="F45" s="5">
        <v>107</v>
      </c>
    </row>
    <row r="46" spans="1:6" x14ac:dyDescent="0.25">
      <c r="A46" s="107">
        <v>44547</v>
      </c>
      <c r="B46" s="5" t="s">
        <v>22</v>
      </c>
      <c r="C46" s="5">
        <v>35</v>
      </c>
      <c r="D46" s="5">
        <v>14</v>
      </c>
      <c r="E46" s="5">
        <v>914</v>
      </c>
      <c r="F46" s="5">
        <v>125</v>
      </c>
    </row>
    <row r="47" spans="1:6" x14ac:dyDescent="0.25">
      <c r="A47" s="106">
        <v>44547</v>
      </c>
      <c r="B47" s="5" t="s">
        <v>25</v>
      </c>
      <c r="C47" s="5">
        <v>22</v>
      </c>
      <c r="D47" s="5">
        <v>0</v>
      </c>
      <c r="E47" s="5">
        <v>0</v>
      </c>
      <c r="F47" s="5">
        <v>0</v>
      </c>
    </row>
    <row r="48" spans="1:6" x14ac:dyDescent="0.25">
      <c r="A48" s="107">
        <v>44547</v>
      </c>
      <c r="B48" s="5" t="s">
        <v>89</v>
      </c>
      <c r="C48" s="5">
        <v>0</v>
      </c>
      <c r="D48" s="5">
        <v>33</v>
      </c>
      <c r="E48" s="5">
        <v>1609</v>
      </c>
      <c r="F48" s="5">
        <v>198</v>
      </c>
    </row>
    <row r="49" spans="1:6" x14ac:dyDescent="0.25">
      <c r="A49" s="106">
        <v>44547</v>
      </c>
      <c r="B49" s="5" t="s">
        <v>31</v>
      </c>
      <c r="C49" s="5">
        <v>28</v>
      </c>
      <c r="D49" s="5">
        <v>6</v>
      </c>
      <c r="E49" s="5">
        <v>662</v>
      </c>
      <c r="F49" s="5">
        <v>108</v>
      </c>
    </row>
    <row r="50" spans="1:6" x14ac:dyDescent="0.25">
      <c r="A50" s="107">
        <v>44547</v>
      </c>
      <c r="B50" s="5" t="s">
        <v>26</v>
      </c>
      <c r="C50" s="5">
        <v>15</v>
      </c>
      <c r="D50" s="5">
        <v>4</v>
      </c>
      <c r="E50" s="5">
        <v>389</v>
      </c>
      <c r="F50" s="5">
        <v>60</v>
      </c>
    </row>
    <row r="51" spans="1:6" x14ac:dyDescent="0.25">
      <c r="A51" s="106">
        <v>44547</v>
      </c>
      <c r="B51" s="5" t="s">
        <v>24</v>
      </c>
      <c r="C51" s="5">
        <v>18</v>
      </c>
      <c r="D51" s="5">
        <v>4</v>
      </c>
      <c r="E51" s="5">
        <v>460</v>
      </c>
      <c r="F51" s="5">
        <v>38</v>
      </c>
    </row>
    <row r="52" spans="1:6" x14ac:dyDescent="0.25">
      <c r="A52" s="107">
        <v>44547</v>
      </c>
      <c r="B52" s="5" t="s">
        <v>43</v>
      </c>
      <c r="C52" s="5">
        <v>6</v>
      </c>
      <c r="D52" s="5">
        <v>0</v>
      </c>
      <c r="E52" s="5">
        <v>0</v>
      </c>
      <c r="F52" s="5">
        <v>0</v>
      </c>
    </row>
    <row r="53" spans="1:6" x14ac:dyDescent="0.25">
      <c r="A53" s="106">
        <v>44547</v>
      </c>
      <c r="B53" s="5" t="s">
        <v>27</v>
      </c>
      <c r="C53" s="5">
        <v>7</v>
      </c>
      <c r="D53" s="5">
        <v>0</v>
      </c>
      <c r="E53" s="5">
        <v>0</v>
      </c>
      <c r="F53" s="5">
        <v>0</v>
      </c>
    </row>
    <row r="54" spans="1:6" x14ac:dyDescent="0.25">
      <c r="A54" s="107">
        <v>44547</v>
      </c>
      <c r="B54" s="5" t="s">
        <v>28</v>
      </c>
      <c r="C54" s="5">
        <v>6</v>
      </c>
      <c r="D54" s="5">
        <v>0</v>
      </c>
      <c r="E54" s="5">
        <v>0</v>
      </c>
      <c r="F54" s="5">
        <v>0</v>
      </c>
    </row>
    <row r="55" spans="1:6" x14ac:dyDescent="0.25">
      <c r="A55" s="106">
        <v>44547</v>
      </c>
      <c r="B55" s="5" t="s">
        <v>29</v>
      </c>
      <c r="C55" s="5">
        <v>9</v>
      </c>
      <c r="D55" s="5">
        <v>0</v>
      </c>
      <c r="E55" s="5">
        <v>0</v>
      </c>
      <c r="F55" s="5">
        <v>0</v>
      </c>
    </row>
    <row r="56" spans="1:6" x14ac:dyDescent="0.25">
      <c r="A56" s="107">
        <v>44547</v>
      </c>
      <c r="B56" s="5" t="s">
        <v>30</v>
      </c>
      <c r="C56" s="5">
        <v>8</v>
      </c>
      <c r="D56" s="5">
        <v>0</v>
      </c>
      <c r="E56" s="5">
        <v>0</v>
      </c>
      <c r="F56" s="5">
        <v>0</v>
      </c>
    </row>
    <row r="57" spans="1:6" x14ac:dyDescent="0.25">
      <c r="A57" s="106">
        <v>44547</v>
      </c>
      <c r="B57" s="5" t="s">
        <v>32</v>
      </c>
      <c r="C57" s="5">
        <v>8</v>
      </c>
      <c r="D57" s="5">
        <v>0</v>
      </c>
      <c r="E57" s="5">
        <v>0</v>
      </c>
      <c r="F57" s="5">
        <v>0</v>
      </c>
    </row>
    <row r="58" spans="1:6" x14ac:dyDescent="0.25">
      <c r="A58" s="107">
        <v>44547</v>
      </c>
      <c r="B58" s="5" t="s">
        <v>33</v>
      </c>
      <c r="C58" s="5">
        <v>3</v>
      </c>
      <c r="D58" s="5">
        <v>0</v>
      </c>
      <c r="E58" s="5">
        <v>0</v>
      </c>
      <c r="F58" s="5">
        <v>0</v>
      </c>
    </row>
    <row r="59" spans="1:6" x14ac:dyDescent="0.25">
      <c r="A59" s="106">
        <v>44547</v>
      </c>
      <c r="B59" s="5" t="s">
        <v>34</v>
      </c>
      <c r="C59" s="5">
        <v>5</v>
      </c>
      <c r="D59" s="5">
        <v>0</v>
      </c>
      <c r="E59" s="5">
        <v>0</v>
      </c>
      <c r="F59" s="5">
        <v>0</v>
      </c>
    </row>
    <row r="60" spans="1:6" x14ac:dyDescent="0.25">
      <c r="A60" s="107">
        <v>44547</v>
      </c>
      <c r="B60" s="5" t="s">
        <v>35</v>
      </c>
      <c r="C60" s="5">
        <v>4</v>
      </c>
      <c r="D60" s="5">
        <v>0</v>
      </c>
      <c r="E60" s="5">
        <v>0</v>
      </c>
      <c r="F60" s="5">
        <v>0</v>
      </c>
    </row>
    <row r="61" spans="1:6" x14ac:dyDescent="0.25">
      <c r="A61" s="106">
        <v>44547</v>
      </c>
      <c r="B61" s="5" t="s">
        <v>36</v>
      </c>
      <c r="C61" s="5">
        <v>14</v>
      </c>
      <c r="D61" s="5">
        <v>0</v>
      </c>
      <c r="E61" s="5">
        <v>0</v>
      </c>
      <c r="F61" s="5">
        <v>0</v>
      </c>
    </row>
    <row r="62" spans="1:6" s="109" customFormat="1" x14ac:dyDescent="0.25">
      <c r="A62" s="114">
        <v>44554</v>
      </c>
      <c r="B62" s="111" t="s">
        <v>19</v>
      </c>
      <c r="C62" s="111">
        <v>85</v>
      </c>
      <c r="D62" s="5">
        <v>84</v>
      </c>
      <c r="E62" s="5">
        <v>5499</v>
      </c>
      <c r="F62" s="5">
        <v>867</v>
      </c>
    </row>
    <row r="63" spans="1:6" x14ac:dyDescent="0.25">
      <c r="A63" s="106">
        <v>44554</v>
      </c>
      <c r="B63" s="5" t="s">
        <v>23</v>
      </c>
      <c r="C63" s="5">
        <v>44</v>
      </c>
      <c r="D63" s="5">
        <v>26</v>
      </c>
      <c r="E63" s="5">
        <v>2393</v>
      </c>
      <c r="F63" s="5">
        <v>409</v>
      </c>
    </row>
    <row r="64" spans="1:6" x14ac:dyDescent="0.25">
      <c r="A64" s="107">
        <v>44554</v>
      </c>
      <c r="B64" s="5" t="s">
        <v>21</v>
      </c>
      <c r="C64" s="5">
        <v>54</v>
      </c>
      <c r="D64" s="5">
        <v>4</v>
      </c>
      <c r="E64" s="5">
        <v>424</v>
      </c>
      <c r="F64" s="5">
        <v>96</v>
      </c>
    </row>
    <row r="65" spans="1:6" x14ac:dyDescent="0.25">
      <c r="A65" s="106">
        <v>44554</v>
      </c>
      <c r="B65" s="5" t="s">
        <v>20</v>
      </c>
      <c r="C65" s="5">
        <v>68</v>
      </c>
      <c r="D65" s="5">
        <v>15</v>
      </c>
      <c r="E65" s="5">
        <v>1429</v>
      </c>
      <c r="F65" s="5">
        <v>231</v>
      </c>
    </row>
    <row r="66" spans="1:6" x14ac:dyDescent="0.25">
      <c r="A66" s="107">
        <v>44554</v>
      </c>
      <c r="B66" s="5" t="s">
        <v>22</v>
      </c>
      <c r="C66" s="5">
        <v>35</v>
      </c>
      <c r="D66" s="5">
        <v>15</v>
      </c>
      <c r="E66" s="5">
        <v>963</v>
      </c>
      <c r="F66" s="5">
        <v>177</v>
      </c>
    </row>
    <row r="67" spans="1:6" x14ac:dyDescent="0.25">
      <c r="A67" s="106">
        <v>44554</v>
      </c>
      <c r="B67" s="5" t="s">
        <v>25</v>
      </c>
      <c r="C67" s="5">
        <v>22</v>
      </c>
      <c r="D67" s="5">
        <v>0</v>
      </c>
      <c r="E67" s="5">
        <v>0</v>
      </c>
      <c r="F67" s="5">
        <v>0</v>
      </c>
    </row>
    <row r="68" spans="1:6" x14ac:dyDescent="0.25">
      <c r="A68" s="107">
        <v>44554</v>
      </c>
      <c r="B68" s="5" t="s">
        <v>89</v>
      </c>
      <c r="C68" s="5">
        <v>21</v>
      </c>
      <c r="D68" s="5">
        <v>36</v>
      </c>
      <c r="E68" s="5">
        <v>3631</v>
      </c>
      <c r="F68" s="5">
        <v>585</v>
      </c>
    </row>
    <row r="69" spans="1:6" x14ac:dyDescent="0.25">
      <c r="A69" s="106">
        <v>44554</v>
      </c>
      <c r="B69" s="5" t="s">
        <v>31</v>
      </c>
      <c r="C69" s="5">
        <v>28</v>
      </c>
      <c r="D69" s="5">
        <v>11</v>
      </c>
      <c r="E69" s="5">
        <v>997</v>
      </c>
      <c r="F69" s="5">
        <v>201</v>
      </c>
    </row>
    <row r="70" spans="1:6" x14ac:dyDescent="0.25">
      <c r="A70" s="107">
        <v>44554</v>
      </c>
      <c r="B70" s="5" t="s">
        <v>26</v>
      </c>
      <c r="C70" s="5">
        <v>15</v>
      </c>
      <c r="D70" s="5">
        <v>4</v>
      </c>
      <c r="E70" s="5">
        <v>521</v>
      </c>
      <c r="F70" s="5">
        <v>107</v>
      </c>
    </row>
    <row r="71" spans="1:6" x14ac:dyDescent="0.25">
      <c r="A71" s="106">
        <v>44554</v>
      </c>
      <c r="B71" s="5" t="s">
        <v>24</v>
      </c>
      <c r="C71" s="5">
        <v>19</v>
      </c>
      <c r="D71" s="5">
        <v>7</v>
      </c>
      <c r="E71" s="5">
        <v>336</v>
      </c>
      <c r="F71" s="5">
        <v>49</v>
      </c>
    </row>
    <row r="72" spans="1:6" x14ac:dyDescent="0.25">
      <c r="A72" s="107">
        <v>44554</v>
      </c>
      <c r="B72" s="5" t="s">
        <v>43</v>
      </c>
      <c r="C72" s="5">
        <v>6</v>
      </c>
      <c r="D72" s="5">
        <v>0</v>
      </c>
      <c r="E72" s="5">
        <v>0</v>
      </c>
      <c r="F72" s="5">
        <v>0</v>
      </c>
    </row>
    <row r="73" spans="1:6" x14ac:dyDescent="0.25">
      <c r="A73" s="106">
        <v>44554</v>
      </c>
      <c r="B73" s="5" t="s">
        <v>27</v>
      </c>
      <c r="C73" s="5">
        <v>7</v>
      </c>
      <c r="D73" s="5">
        <v>0</v>
      </c>
      <c r="E73" s="5">
        <v>0</v>
      </c>
      <c r="F73" s="5">
        <v>0</v>
      </c>
    </row>
    <row r="74" spans="1:6" x14ac:dyDescent="0.25">
      <c r="A74" s="107">
        <v>44554</v>
      </c>
      <c r="B74" s="5" t="s">
        <v>28</v>
      </c>
      <c r="C74" s="5">
        <v>6</v>
      </c>
      <c r="D74" s="5">
        <v>0</v>
      </c>
      <c r="E74" s="5">
        <v>0</v>
      </c>
      <c r="F74" s="5">
        <v>0</v>
      </c>
    </row>
    <row r="75" spans="1:6" x14ac:dyDescent="0.25">
      <c r="A75" s="106">
        <v>44554</v>
      </c>
      <c r="B75" s="5" t="s">
        <v>29</v>
      </c>
      <c r="C75" s="5">
        <v>9</v>
      </c>
      <c r="D75" s="5">
        <v>0</v>
      </c>
      <c r="E75" s="5">
        <v>0</v>
      </c>
      <c r="F75" s="5">
        <v>0</v>
      </c>
    </row>
    <row r="76" spans="1:6" x14ac:dyDescent="0.25">
      <c r="A76" s="107">
        <v>44554</v>
      </c>
      <c r="B76" s="5" t="s">
        <v>30</v>
      </c>
      <c r="C76" s="5">
        <v>8</v>
      </c>
      <c r="D76" s="5">
        <v>0</v>
      </c>
      <c r="E76" s="5">
        <v>0</v>
      </c>
      <c r="F76" s="5">
        <v>0</v>
      </c>
    </row>
    <row r="77" spans="1:6" x14ac:dyDescent="0.25">
      <c r="A77" s="106">
        <v>44554</v>
      </c>
      <c r="B77" s="5" t="s">
        <v>32</v>
      </c>
      <c r="C77" s="5">
        <v>8</v>
      </c>
      <c r="D77" s="5">
        <v>0</v>
      </c>
      <c r="E77" s="5">
        <v>0</v>
      </c>
      <c r="F77" s="5">
        <v>0</v>
      </c>
    </row>
    <row r="78" spans="1:6" x14ac:dyDescent="0.25">
      <c r="A78" s="107">
        <v>44554</v>
      </c>
      <c r="B78" s="5" t="s">
        <v>33</v>
      </c>
      <c r="C78" s="5">
        <v>3</v>
      </c>
      <c r="D78" s="5">
        <v>0</v>
      </c>
      <c r="E78" s="5">
        <v>0</v>
      </c>
      <c r="F78" s="5">
        <v>0</v>
      </c>
    </row>
    <row r="79" spans="1:6" x14ac:dyDescent="0.25">
      <c r="A79" s="106">
        <v>44554</v>
      </c>
      <c r="B79" s="5" t="s">
        <v>34</v>
      </c>
      <c r="C79" s="5">
        <v>5</v>
      </c>
      <c r="D79" s="5">
        <v>0</v>
      </c>
      <c r="E79" s="5">
        <v>0</v>
      </c>
      <c r="F79" s="5">
        <v>0</v>
      </c>
    </row>
    <row r="80" spans="1:6" x14ac:dyDescent="0.25">
      <c r="A80" s="107">
        <v>44554</v>
      </c>
      <c r="B80" s="5" t="s">
        <v>35</v>
      </c>
      <c r="C80" s="5">
        <v>4</v>
      </c>
      <c r="D80" s="5">
        <v>0</v>
      </c>
      <c r="E80" s="5">
        <v>0</v>
      </c>
      <c r="F80" s="5">
        <v>0</v>
      </c>
    </row>
    <row r="81" spans="1:6" x14ac:dyDescent="0.25">
      <c r="A81" s="106">
        <v>44554</v>
      </c>
      <c r="B81" s="5" t="s">
        <v>36</v>
      </c>
      <c r="C81" s="5">
        <v>14</v>
      </c>
      <c r="D81" s="5">
        <v>0</v>
      </c>
      <c r="E81" s="5">
        <v>0</v>
      </c>
      <c r="F81" s="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pane="bottomLeft" activeCell="F14" sqref="F14"/>
    </sheetView>
  </sheetViews>
  <sheetFormatPr defaultRowHeight="16.5" x14ac:dyDescent="0.25"/>
  <cols>
    <col min="1" max="1" width="7" style="4" bestFit="1" customWidth="1"/>
    <col min="2" max="2" width="24.125" bestFit="1" customWidth="1"/>
    <col min="3" max="3" width="11" style="4" bestFit="1" customWidth="1"/>
    <col min="4" max="4" width="14.5" bestFit="1" customWidth="1"/>
    <col min="5" max="14" width="11.375" bestFit="1" customWidth="1"/>
  </cols>
  <sheetData>
    <row r="1" spans="1:14" s="4" customFormat="1" ht="21" x14ac:dyDescent="0.25">
      <c r="A1" s="20" t="s">
        <v>104</v>
      </c>
      <c r="B1" s="20" t="s">
        <v>49</v>
      </c>
      <c r="C1" s="18" t="s">
        <v>143</v>
      </c>
      <c r="D1" s="20" t="s">
        <v>50</v>
      </c>
      <c r="E1" s="16" t="s">
        <v>19</v>
      </c>
      <c r="F1" s="16" t="s">
        <v>23</v>
      </c>
      <c r="G1" s="16" t="s">
        <v>21</v>
      </c>
      <c r="H1" s="16" t="s">
        <v>20</v>
      </c>
      <c r="I1" s="16" t="s">
        <v>22</v>
      </c>
      <c r="J1" s="16" t="s">
        <v>25</v>
      </c>
      <c r="K1" s="16" t="s">
        <v>48</v>
      </c>
      <c r="L1" s="16" t="s">
        <v>31</v>
      </c>
      <c r="M1" s="16" t="s">
        <v>26</v>
      </c>
      <c r="N1" s="16" t="s">
        <v>24</v>
      </c>
    </row>
    <row r="2" spans="1:14" ht="25.5" x14ac:dyDescent="0.25">
      <c r="A2" s="18" t="s">
        <v>105</v>
      </c>
      <c r="B2" s="20" t="s">
        <v>106</v>
      </c>
      <c r="C2" s="20">
        <v>39</v>
      </c>
      <c r="D2" s="57">
        <v>35</v>
      </c>
      <c r="E2" s="101">
        <v>21</v>
      </c>
      <c r="F2" s="101"/>
      <c r="G2" s="101"/>
      <c r="H2" s="101">
        <v>5</v>
      </c>
      <c r="I2" s="101">
        <v>1</v>
      </c>
      <c r="J2" s="101"/>
      <c r="K2" s="101">
        <v>8</v>
      </c>
      <c r="L2" s="101"/>
      <c r="M2" s="101"/>
      <c r="N2" s="101"/>
    </row>
    <row r="3" spans="1:14" ht="25.5" x14ac:dyDescent="0.25">
      <c r="A3" s="18" t="s">
        <v>111</v>
      </c>
      <c r="B3" s="20" t="s">
        <v>103</v>
      </c>
      <c r="C3" s="20">
        <v>200</v>
      </c>
      <c r="D3" s="20">
        <v>25</v>
      </c>
      <c r="E3" s="101">
        <v>11</v>
      </c>
      <c r="F3" s="101">
        <v>3</v>
      </c>
      <c r="G3" s="101">
        <v>1</v>
      </c>
      <c r="H3" s="101">
        <v>1</v>
      </c>
      <c r="I3" s="101">
        <v>4</v>
      </c>
      <c r="J3" s="101">
        <v>2</v>
      </c>
      <c r="K3" s="101"/>
      <c r="L3" s="101"/>
      <c r="M3" s="101">
        <v>3</v>
      </c>
      <c r="N3" s="101"/>
    </row>
    <row r="4" spans="1:14" ht="25.5" x14ac:dyDescent="0.25">
      <c r="A4" s="18" t="s">
        <v>113</v>
      </c>
      <c r="B4" s="20" t="s">
        <v>107</v>
      </c>
      <c r="C4" s="20">
        <v>65</v>
      </c>
      <c r="D4" s="57">
        <v>22</v>
      </c>
      <c r="E4" s="101">
        <v>6</v>
      </c>
      <c r="F4" s="101"/>
      <c r="G4" s="101">
        <v>1</v>
      </c>
      <c r="H4" s="101"/>
      <c r="I4" s="101">
        <v>5</v>
      </c>
      <c r="J4" s="101"/>
      <c r="K4" s="101">
        <v>10</v>
      </c>
      <c r="L4" s="101"/>
      <c r="M4" s="101"/>
      <c r="N4" s="101"/>
    </row>
    <row r="5" spans="1:14" ht="25.5" x14ac:dyDescent="0.25">
      <c r="A5" s="18" t="s">
        <v>112</v>
      </c>
      <c r="B5" s="20" t="s">
        <v>108</v>
      </c>
      <c r="C5" s="20">
        <v>65</v>
      </c>
      <c r="D5" s="57">
        <v>18</v>
      </c>
      <c r="E5" s="101">
        <v>4</v>
      </c>
      <c r="F5" s="101"/>
      <c r="G5" s="101">
        <v>1</v>
      </c>
      <c r="H5" s="101"/>
      <c r="I5" s="101">
        <v>3</v>
      </c>
      <c r="J5" s="101"/>
      <c r="K5" s="101">
        <v>10</v>
      </c>
      <c r="L5" s="101"/>
      <c r="M5" s="101"/>
      <c r="N5" s="101"/>
    </row>
    <row r="6" spans="1:14" ht="25.5" x14ac:dyDescent="0.25">
      <c r="A6" s="18" t="s">
        <v>111</v>
      </c>
      <c r="B6" s="20" t="s">
        <v>109</v>
      </c>
      <c r="C6" s="20">
        <v>75</v>
      </c>
      <c r="D6" s="20">
        <v>17</v>
      </c>
      <c r="E6" s="101">
        <v>11</v>
      </c>
      <c r="F6" s="101">
        <v>3</v>
      </c>
      <c r="G6" s="101">
        <v>1</v>
      </c>
      <c r="H6" s="101">
        <v>1</v>
      </c>
      <c r="I6" s="101">
        <v>1</v>
      </c>
      <c r="J6" s="101"/>
      <c r="K6" s="101"/>
      <c r="L6" s="101"/>
      <c r="M6" s="101"/>
      <c r="N6" s="101"/>
    </row>
    <row r="7" spans="1:14" ht="25.5" x14ac:dyDescent="0.25">
      <c r="A7" s="18" t="s">
        <v>114</v>
      </c>
      <c r="B7" s="20" t="s">
        <v>110</v>
      </c>
      <c r="C7" s="20">
        <v>160</v>
      </c>
      <c r="D7" s="20">
        <v>17</v>
      </c>
      <c r="E7" s="101">
        <v>5</v>
      </c>
      <c r="F7" s="101">
        <v>2</v>
      </c>
      <c r="G7" s="101">
        <v>6</v>
      </c>
      <c r="H7" s="101">
        <v>1</v>
      </c>
      <c r="I7" s="101"/>
      <c r="J7" s="101"/>
      <c r="K7" s="101"/>
      <c r="L7" s="101">
        <v>1</v>
      </c>
      <c r="M7" s="101"/>
      <c r="N7" s="101">
        <v>2</v>
      </c>
    </row>
    <row r="8" spans="1:14" ht="25.5" x14ac:dyDescent="0.25">
      <c r="A8" s="18" t="s">
        <v>115</v>
      </c>
      <c r="B8" s="20" t="s">
        <v>118</v>
      </c>
      <c r="C8" s="20">
        <v>130</v>
      </c>
      <c r="D8" s="20">
        <v>16</v>
      </c>
      <c r="E8" s="101">
        <v>7</v>
      </c>
      <c r="F8" s="101">
        <v>1</v>
      </c>
      <c r="G8" s="101"/>
      <c r="H8" s="101">
        <v>5</v>
      </c>
      <c r="I8" s="101"/>
      <c r="J8" s="101"/>
      <c r="K8" s="101"/>
      <c r="L8" s="101">
        <v>1</v>
      </c>
      <c r="M8" s="101">
        <v>2</v>
      </c>
      <c r="N8" s="101"/>
    </row>
    <row r="9" spans="1:14" ht="25.5" x14ac:dyDescent="0.25">
      <c r="A9" s="18" t="s">
        <v>115</v>
      </c>
      <c r="B9" s="20" t="s">
        <v>119</v>
      </c>
      <c r="C9" s="20">
        <v>39</v>
      </c>
      <c r="D9" s="57">
        <v>16</v>
      </c>
      <c r="E9" s="101">
        <v>11</v>
      </c>
      <c r="F9" s="101"/>
      <c r="G9" s="101"/>
      <c r="H9" s="101"/>
      <c r="I9" s="101"/>
      <c r="J9" s="101"/>
      <c r="K9" s="101">
        <v>5</v>
      </c>
      <c r="L9" s="101"/>
      <c r="M9" s="101"/>
      <c r="N9" s="101"/>
    </row>
    <row r="10" spans="1:14" ht="25.5" x14ac:dyDescent="0.25">
      <c r="A10" s="18" t="s">
        <v>114</v>
      </c>
      <c r="B10" s="20" t="s">
        <v>120</v>
      </c>
      <c r="C10" s="20">
        <v>160</v>
      </c>
      <c r="D10" s="20">
        <v>14</v>
      </c>
      <c r="E10" s="101">
        <v>4</v>
      </c>
      <c r="F10" s="101">
        <v>3</v>
      </c>
      <c r="G10" s="101">
        <v>3</v>
      </c>
      <c r="H10" s="101"/>
      <c r="I10" s="101"/>
      <c r="J10" s="101">
        <v>2</v>
      </c>
      <c r="K10" s="101"/>
      <c r="L10" s="101">
        <v>2</v>
      </c>
      <c r="M10" s="101"/>
      <c r="N10" s="101"/>
    </row>
    <row r="11" spans="1:14" ht="25.5" x14ac:dyDescent="0.25">
      <c r="A11" s="18" t="s">
        <v>115</v>
      </c>
      <c r="B11" s="20" t="s">
        <v>121</v>
      </c>
      <c r="C11" s="20">
        <v>55</v>
      </c>
      <c r="D11" s="57">
        <v>13</v>
      </c>
      <c r="E11" s="101">
        <v>7</v>
      </c>
      <c r="F11" s="101">
        <v>3</v>
      </c>
      <c r="G11" s="101"/>
      <c r="H11" s="101"/>
      <c r="I11" s="101">
        <v>3</v>
      </c>
      <c r="J11" s="101"/>
      <c r="K11" s="101"/>
      <c r="L11" s="101">
        <v>1</v>
      </c>
      <c r="M11" s="101"/>
      <c r="N11" s="101"/>
    </row>
    <row r="12" spans="1:14" ht="25.5" x14ac:dyDescent="0.25">
      <c r="A12" s="18" t="s">
        <v>114</v>
      </c>
      <c r="B12" s="20" t="s">
        <v>122</v>
      </c>
      <c r="C12" s="20">
        <v>260</v>
      </c>
      <c r="D12" s="57">
        <v>13</v>
      </c>
      <c r="E12" s="101">
        <v>5</v>
      </c>
      <c r="F12" s="101">
        <v>4</v>
      </c>
      <c r="G12" s="101">
        <v>3</v>
      </c>
      <c r="H12" s="101"/>
      <c r="I12" s="101">
        <v>1</v>
      </c>
      <c r="J12" s="101"/>
      <c r="K12" s="101"/>
      <c r="L12" s="101">
        <v>1</v>
      </c>
      <c r="M12" s="101"/>
      <c r="N12" s="101"/>
    </row>
    <row r="13" spans="1:14" ht="25.5" x14ac:dyDescent="0.25">
      <c r="A13" s="18" t="s">
        <v>114</v>
      </c>
      <c r="B13" s="20" t="s">
        <v>123</v>
      </c>
      <c r="C13" s="20">
        <v>99</v>
      </c>
      <c r="D13" s="20">
        <v>13</v>
      </c>
      <c r="E13" s="101">
        <v>4</v>
      </c>
      <c r="F13" s="101">
        <v>2</v>
      </c>
      <c r="G13" s="101"/>
      <c r="H13" s="101">
        <v>4</v>
      </c>
      <c r="I13" s="101"/>
      <c r="J13" s="101"/>
      <c r="K13" s="101"/>
      <c r="L13" s="101"/>
      <c r="M13" s="101">
        <v>1</v>
      </c>
      <c r="N13" s="101">
        <v>2</v>
      </c>
    </row>
    <row r="14" spans="1:14" ht="25.5" x14ac:dyDescent="0.25">
      <c r="A14" s="18" t="s">
        <v>111</v>
      </c>
      <c r="B14" s="20" t="s">
        <v>124</v>
      </c>
      <c r="C14" s="20">
        <v>210</v>
      </c>
      <c r="D14" s="20">
        <v>12</v>
      </c>
      <c r="E14" s="101">
        <v>3</v>
      </c>
      <c r="F14" s="101"/>
      <c r="G14" s="101">
        <v>1</v>
      </c>
      <c r="H14" s="101">
        <v>3</v>
      </c>
      <c r="I14" s="101">
        <v>2</v>
      </c>
      <c r="J14" s="101"/>
      <c r="K14" s="101"/>
      <c r="L14" s="101"/>
      <c r="M14" s="101"/>
      <c r="N14" s="101">
        <v>5</v>
      </c>
    </row>
    <row r="15" spans="1:14" ht="25.5" x14ac:dyDescent="0.25">
      <c r="A15" s="18" t="s">
        <v>113</v>
      </c>
      <c r="B15" s="20" t="s">
        <v>125</v>
      </c>
      <c r="C15" s="20">
        <v>120</v>
      </c>
      <c r="D15" s="20">
        <v>12</v>
      </c>
      <c r="E15" s="101">
        <v>3</v>
      </c>
      <c r="F15" s="101">
        <v>4</v>
      </c>
      <c r="G15" s="101">
        <v>2</v>
      </c>
      <c r="H15" s="101"/>
      <c r="I15" s="101"/>
      <c r="J15" s="101"/>
      <c r="K15" s="101"/>
      <c r="L15" s="101">
        <v>1</v>
      </c>
      <c r="M15" s="101">
        <v>2</v>
      </c>
      <c r="N15" s="101"/>
    </row>
    <row r="16" spans="1:14" ht="25.5" x14ac:dyDescent="0.25">
      <c r="A16" s="18" t="s">
        <v>111</v>
      </c>
      <c r="B16" s="20" t="s">
        <v>126</v>
      </c>
      <c r="C16" s="20">
        <v>200</v>
      </c>
      <c r="D16" s="20">
        <v>11</v>
      </c>
      <c r="E16" s="101">
        <v>2</v>
      </c>
      <c r="F16" s="101">
        <v>3</v>
      </c>
      <c r="G16" s="101">
        <v>1</v>
      </c>
      <c r="H16" s="101"/>
      <c r="I16" s="101">
        <v>4</v>
      </c>
      <c r="J16" s="101"/>
      <c r="K16" s="101"/>
      <c r="L16" s="101"/>
      <c r="M16" s="101">
        <v>1</v>
      </c>
      <c r="N16" s="101"/>
    </row>
    <row r="17" spans="1:14" ht="25.5" x14ac:dyDescent="0.25">
      <c r="A17" s="18" t="s">
        <v>113</v>
      </c>
      <c r="B17" s="20" t="s">
        <v>127</v>
      </c>
      <c r="C17" s="20">
        <v>155</v>
      </c>
      <c r="D17" s="20">
        <v>9</v>
      </c>
      <c r="E17" s="101">
        <v>1</v>
      </c>
      <c r="F17" s="101"/>
      <c r="G17" s="101">
        <v>2</v>
      </c>
      <c r="H17" s="101">
        <v>2</v>
      </c>
      <c r="I17" s="101">
        <v>2</v>
      </c>
      <c r="J17" s="101">
        <v>1</v>
      </c>
      <c r="K17" s="101"/>
      <c r="L17" s="101"/>
      <c r="M17" s="101"/>
      <c r="N17" s="101">
        <v>1</v>
      </c>
    </row>
    <row r="18" spans="1:14" ht="25.5" x14ac:dyDescent="0.25">
      <c r="A18" s="18" t="s">
        <v>113</v>
      </c>
      <c r="B18" s="20" t="s">
        <v>128</v>
      </c>
      <c r="C18" s="20">
        <v>120</v>
      </c>
      <c r="D18" s="20">
        <v>9</v>
      </c>
      <c r="E18" s="101">
        <v>1</v>
      </c>
      <c r="F18" s="101">
        <v>4</v>
      </c>
      <c r="G18" s="101">
        <v>1</v>
      </c>
      <c r="H18" s="101">
        <v>1</v>
      </c>
      <c r="I18" s="101"/>
      <c r="J18" s="101"/>
      <c r="K18" s="101"/>
      <c r="L18" s="101">
        <v>1</v>
      </c>
      <c r="M18" s="101">
        <v>1</v>
      </c>
      <c r="N18" s="101"/>
    </row>
    <row r="19" spans="1:14" ht="25.5" x14ac:dyDescent="0.25">
      <c r="A19" s="18" t="s">
        <v>115</v>
      </c>
      <c r="B19" s="20" t="s">
        <v>129</v>
      </c>
      <c r="C19" s="20">
        <v>130</v>
      </c>
      <c r="D19" s="20">
        <v>8</v>
      </c>
      <c r="E19" s="101"/>
      <c r="F19" s="101">
        <v>1</v>
      </c>
      <c r="G19" s="101"/>
      <c r="H19" s="101">
        <v>3</v>
      </c>
      <c r="I19" s="101"/>
      <c r="J19" s="101"/>
      <c r="K19" s="101"/>
      <c r="L19" s="101">
        <v>2</v>
      </c>
      <c r="M19" s="101">
        <v>2</v>
      </c>
      <c r="N19" s="101"/>
    </row>
    <row r="20" spans="1:14" ht="25.5" x14ac:dyDescent="0.25">
      <c r="A20" s="18" t="s">
        <v>115</v>
      </c>
      <c r="B20" s="20" t="s">
        <v>130</v>
      </c>
      <c r="C20" s="20">
        <v>55</v>
      </c>
      <c r="D20" s="57">
        <v>8</v>
      </c>
      <c r="E20" s="101">
        <v>4</v>
      </c>
      <c r="F20" s="101">
        <v>3</v>
      </c>
      <c r="G20" s="101"/>
      <c r="H20" s="101"/>
      <c r="I20" s="101">
        <v>1</v>
      </c>
      <c r="J20" s="101"/>
      <c r="K20" s="101"/>
      <c r="L20" s="101">
        <v>1</v>
      </c>
      <c r="M20" s="101"/>
      <c r="N20" s="101"/>
    </row>
    <row r="21" spans="1:14" ht="25.5" x14ac:dyDescent="0.25">
      <c r="A21" s="18" t="s">
        <v>116</v>
      </c>
      <c r="B21" s="20" t="s">
        <v>131</v>
      </c>
      <c r="C21" s="20">
        <v>280</v>
      </c>
      <c r="D21" s="20">
        <v>7</v>
      </c>
      <c r="E21" s="101">
        <v>4</v>
      </c>
      <c r="F21" s="101">
        <v>2</v>
      </c>
      <c r="G21" s="101"/>
      <c r="H21" s="101">
        <v>1</v>
      </c>
      <c r="I21" s="101"/>
      <c r="J21" s="101"/>
      <c r="K21" s="101"/>
      <c r="L21" s="101"/>
      <c r="M21" s="101"/>
      <c r="N21" s="101"/>
    </row>
    <row r="22" spans="1:14" ht="25.5" x14ac:dyDescent="0.25">
      <c r="A22" s="18" t="s">
        <v>113</v>
      </c>
      <c r="B22" s="20" t="s">
        <v>132</v>
      </c>
      <c r="C22" s="20">
        <v>155</v>
      </c>
      <c r="D22" s="20">
        <v>6</v>
      </c>
      <c r="E22" s="101"/>
      <c r="F22" s="101"/>
      <c r="G22" s="101">
        <v>2</v>
      </c>
      <c r="H22" s="101">
        <v>1</v>
      </c>
      <c r="I22" s="101">
        <v>2</v>
      </c>
      <c r="J22" s="101"/>
      <c r="K22" s="101"/>
      <c r="L22" s="101"/>
      <c r="M22" s="101"/>
      <c r="N22" s="101">
        <v>1</v>
      </c>
    </row>
    <row r="23" spans="1:14" ht="25.5" x14ac:dyDescent="0.25">
      <c r="A23" s="18" t="s">
        <v>115</v>
      </c>
      <c r="B23" s="20" t="s">
        <v>133</v>
      </c>
      <c r="C23" s="20">
        <v>125</v>
      </c>
      <c r="D23" s="20">
        <v>6</v>
      </c>
      <c r="E23" s="101">
        <v>1</v>
      </c>
      <c r="F23" s="101"/>
      <c r="G23" s="101"/>
      <c r="H23" s="101"/>
      <c r="I23" s="101"/>
      <c r="J23" s="101">
        <v>2</v>
      </c>
      <c r="K23" s="101"/>
      <c r="L23" s="101"/>
      <c r="M23" s="101"/>
      <c r="N23" s="101"/>
    </row>
    <row r="24" spans="1:14" ht="25.5" x14ac:dyDescent="0.25">
      <c r="A24" s="18" t="s">
        <v>113</v>
      </c>
      <c r="B24" s="20" t="s">
        <v>134</v>
      </c>
      <c r="C24" s="20">
        <v>160</v>
      </c>
      <c r="D24" s="20">
        <v>6</v>
      </c>
      <c r="E24" s="101">
        <v>1</v>
      </c>
      <c r="F24" s="101"/>
      <c r="G24" s="101">
        <v>1</v>
      </c>
      <c r="H24" s="101"/>
      <c r="I24" s="101"/>
      <c r="J24" s="101">
        <v>2</v>
      </c>
      <c r="K24" s="101"/>
      <c r="L24" s="101">
        <v>2</v>
      </c>
      <c r="M24" s="101"/>
      <c r="N24" s="101"/>
    </row>
    <row r="25" spans="1:14" ht="25.5" x14ac:dyDescent="0.25">
      <c r="A25" s="18" t="s">
        <v>113</v>
      </c>
      <c r="B25" s="20" t="s">
        <v>135</v>
      </c>
      <c r="C25" s="20">
        <v>185</v>
      </c>
      <c r="D25" s="20">
        <v>6</v>
      </c>
      <c r="E25" s="101">
        <v>2</v>
      </c>
      <c r="F25" s="101">
        <v>2</v>
      </c>
      <c r="G25" s="101"/>
      <c r="H25" s="101"/>
      <c r="I25" s="101"/>
      <c r="J25" s="101">
        <v>2</v>
      </c>
      <c r="K25" s="101"/>
      <c r="L25" s="101"/>
      <c r="M25" s="101"/>
      <c r="N25" s="101"/>
    </row>
    <row r="26" spans="1:14" ht="25.5" x14ac:dyDescent="0.25">
      <c r="A26" s="18" t="s">
        <v>114</v>
      </c>
      <c r="B26" s="20" t="s">
        <v>136</v>
      </c>
      <c r="C26" s="20">
        <v>160</v>
      </c>
      <c r="D26" s="20">
        <v>6</v>
      </c>
      <c r="E26" s="101">
        <v>2</v>
      </c>
      <c r="F26" s="101">
        <v>2</v>
      </c>
      <c r="G26" s="101"/>
      <c r="H26" s="101">
        <v>2</v>
      </c>
      <c r="I26" s="101"/>
      <c r="J26" s="101"/>
      <c r="K26" s="101"/>
      <c r="L26" s="101"/>
      <c r="M26" s="101"/>
      <c r="N26" s="101"/>
    </row>
    <row r="27" spans="1:14" ht="25.5" x14ac:dyDescent="0.25">
      <c r="A27" s="18" t="s">
        <v>111</v>
      </c>
      <c r="B27" s="20" t="s">
        <v>137</v>
      </c>
      <c r="C27" s="20">
        <v>210</v>
      </c>
      <c r="D27" s="20">
        <v>5</v>
      </c>
      <c r="E27" s="101"/>
      <c r="F27" s="101"/>
      <c r="G27" s="101"/>
      <c r="H27" s="101">
        <v>1</v>
      </c>
      <c r="I27" s="101">
        <v>2</v>
      </c>
      <c r="J27" s="101">
        <v>2</v>
      </c>
      <c r="K27" s="101"/>
      <c r="L27" s="101"/>
      <c r="M27" s="101"/>
      <c r="N27" s="101"/>
    </row>
    <row r="28" spans="1:14" ht="25.5" x14ac:dyDescent="0.25">
      <c r="A28" s="18" t="s">
        <v>111</v>
      </c>
      <c r="B28" s="20" t="s">
        <v>138</v>
      </c>
      <c r="C28" s="20">
        <v>145</v>
      </c>
      <c r="D28" s="57">
        <v>3</v>
      </c>
      <c r="E28" s="101"/>
      <c r="F28" s="101"/>
      <c r="G28" s="101"/>
      <c r="H28" s="101">
        <v>3</v>
      </c>
      <c r="I28" s="101"/>
      <c r="J28" s="101"/>
      <c r="K28" s="101"/>
      <c r="L28" s="101"/>
      <c r="M28" s="101"/>
      <c r="N28" s="101"/>
    </row>
    <row r="29" spans="1:14" ht="25.5" x14ac:dyDescent="0.25">
      <c r="A29" s="18" t="s">
        <v>147</v>
      </c>
      <c r="B29" s="20" t="s">
        <v>145</v>
      </c>
      <c r="C29" s="20">
        <v>145</v>
      </c>
      <c r="D29" s="57">
        <v>3</v>
      </c>
      <c r="E29" s="101"/>
      <c r="F29" s="101"/>
      <c r="G29" s="101"/>
      <c r="H29" s="101"/>
      <c r="I29" s="101"/>
      <c r="J29" s="101"/>
      <c r="K29" s="101">
        <v>1</v>
      </c>
      <c r="L29" s="101">
        <v>2</v>
      </c>
      <c r="M29" s="101"/>
      <c r="N29" s="101"/>
    </row>
    <row r="30" spans="1:14" ht="25.5" x14ac:dyDescent="0.25">
      <c r="A30" s="18" t="s">
        <v>147</v>
      </c>
      <c r="B30" s="20" t="s">
        <v>144</v>
      </c>
      <c r="C30" s="20">
        <v>145</v>
      </c>
      <c r="D30" s="57">
        <v>2</v>
      </c>
      <c r="E30" s="101"/>
      <c r="F30" s="101"/>
      <c r="G30" s="101"/>
      <c r="H30" s="101"/>
      <c r="I30" s="101"/>
      <c r="J30" s="101"/>
      <c r="K30" s="101">
        <v>1</v>
      </c>
      <c r="L30" s="101">
        <v>1</v>
      </c>
      <c r="M30" s="101"/>
      <c r="N30" s="101"/>
    </row>
    <row r="31" spans="1:14" ht="25.5" x14ac:dyDescent="0.25">
      <c r="A31" s="18" t="s">
        <v>147</v>
      </c>
      <c r="B31" s="20" t="s">
        <v>146</v>
      </c>
      <c r="C31" s="20">
        <v>145</v>
      </c>
      <c r="D31" s="57">
        <v>2</v>
      </c>
      <c r="E31" s="101"/>
      <c r="F31" s="101"/>
      <c r="G31" s="101"/>
      <c r="H31" s="101"/>
      <c r="I31" s="101">
        <v>1</v>
      </c>
      <c r="J31" s="101"/>
      <c r="K31" s="101">
        <v>1</v>
      </c>
      <c r="L31" s="101"/>
      <c r="M31" s="101"/>
      <c r="N31" s="101"/>
    </row>
    <row r="32" spans="1:14" ht="25.5" x14ac:dyDescent="0.25">
      <c r="A32" s="67" t="s">
        <v>115</v>
      </c>
      <c r="B32" s="102" t="s">
        <v>139</v>
      </c>
      <c r="C32" s="102">
        <v>160</v>
      </c>
      <c r="D32" s="102">
        <v>1</v>
      </c>
      <c r="E32" s="103"/>
      <c r="F32" s="103"/>
      <c r="G32" s="103">
        <v>1</v>
      </c>
      <c r="H32" s="103"/>
      <c r="I32" s="103"/>
      <c r="J32" s="103"/>
      <c r="K32" s="103"/>
      <c r="L32" s="103"/>
      <c r="M32" s="103"/>
      <c r="N32" s="103"/>
    </row>
    <row r="33" spans="1:14" s="4" customFormat="1" ht="25.5" x14ac:dyDescent="0.25">
      <c r="A33" s="67" t="s">
        <v>117</v>
      </c>
      <c r="B33" s="102" t="s">
        <v>140</v>
      </c>
      <c r="C33" s="102">
        <v>350</v>
      </c>
      <c r="D33" s="102">
        <v>1</v>
      </c>
      <c r="E33" s="103">
        <v>1</v>
      </c>
      <c r="F33" s="103"/>
      <c r="G33" s="103"/>
      <c r="H33" s="103"/>
      <c r="I33" s="103"/>
      <c r="J33" s="103"/>
      <c r="K33" s="103"/>
      <c r="L33" s="103"/>
      <c r="M33" s="103"/>
      <c r="N33" s="103"/>
    </row>
    <row r="34" spans="1:14" s="4" customFormat="1" ht="25.5" x14ac:dyDescent="0.25">
      <c r="A34" s="67" t="s">
        <v>111</v>
      </c>
      <c r="B34" s="102" t="s">
        <v>141</v>
      </c>
      <c r="C34" s="102">
        <v>145</v>
      </c>
      <c r="D34" s="102">
        <v>1</v>
      </c>
      <c r="E34" s="103"/>
      <c r="F34" s="103">
        <v>1</v>
      </c>
      <c r="G34" s="103"/>
      <c r="H34" s="103"/>
      <c r="I34" s="103"/>
      <c r="J34" s="103"/>
      <c r="K34" s="103"/>
      <c r="L34" s="103"/>
      <c r="M34" s="103"/>
      <c r="N34" s="103"/>
    </row>
    <row r="35" spans="1:14" s="4" customFormat="1" ht="25.5" x14ac:dyDescent="0.25">
      <c r="A35" s="18" t="s">
        <v>111</v>
      </c>
      <c r="B35" s="20" t="s">
        <v>142</v>
      </c>
      <c r="C35" s="20">
        <v>145</v>
      </c>
      <c r="D35" s="57">
        <v>1</v>
      </c>
      <c r="E35" s="101"/>
      <c r="F35" s="101"/>
      <c r="G35" s="101"/>
      <c r="H35" s="101">
        <v>1</v>
      </c>
      <c r="I35" s="101"/>
      <c r="J35" s="101"/>
      <c r="K35" s="101"/>
      <c r="L35" s="101"/>
      <c r="M35" s="101"/>
      <c r="N35" s="101"/>
    </row>
  </sheetData>
  <autoFilter ref="B1:D32">
    <sortState ref="B2:D32">
      <sortCondition descending="1" ref="D1:D32"/>
    </sortState>
  </autoFilter>
  <sortState ref="A2:N35">
    <sortCondition descending="1" ref="D2:D35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pane ySplit="1" topLeftCell="A17" activePane="bottomLeft" state="frozen"/>
      <selection pane="bottomLeft" activeCell="I58" sqref="I58"/>
    </sheetView>
  </sheetViews>
  <sheetFormatPr defaultRowHeight="16.5" x14ac:dyDescent="0.25"/>
  <cols>
    <col min="1" max="1" width="7" style="4" bestFit="1" customWidth="1"/>
    <col min="2" max="2" width="10.5" style="4" bestFit="1" customWidth="1"/>
    <col min="3" max="3" width="24.125" style="4" bestFit="1" customWidth="1"/>
    <col min="4" max="4" width="14.5" style="4" bestFit="1" customWidth="1"/>
    <col min="5" max="5" width="17.375" style="4" bestFit="1" customWidth="1"/>
    <col min="6" max="6" width="16.5" style="4" bestFit="1" customWidth="1"/>
    <col min="7" max="7" width="12.625" style="4" customWidth="1"/>
    <col min="8" max="17" width="11.375" style="4" bestFit="1" customWidth="1"/>
    <col min="18" max="16384" width="9" style="4"/>
  </cols>
  <sheetData>
    <row r="1" spans="1:17" ht="21" x14ac:dyDescent="0.25">
      <c r="A1" s="20" t="s">
        <v>104</v>
      </c>
      <c r="B1" s="20" t="s">
        <v>166</v>
      </c>
      <c r="C1" s="20" t="s">
        <v>49</v>
      </c>
      <c r="D1" s="20" t="s">
        <v>167</v>
      </c>
      <c r="E1" s="20" t="s">
        <v>168</v>
      </c>
      <c r="F1" s="18" t="s">
        <v>169</v>
      </c>
      <c r="G1" s="20" t="s">
        <v>50</v>
      </c>
      <c r="H1" s="16" t="s">
        <v>22</v>
      </c>
      <c r="I1" s="16" t="s">
        <v>48</v>
      </c>
      <c r="J1" s="16" t="s">
        <v>19</v>
      </c>
      <c r="K1" s="16" t="s">
        <v>21</v>
      </c>
      <c r="L1" s="16" t="s">
        <v>25</v>
      </c>
      <c r="M1" s="16" t="s">
        <v>23</v>
      </c>
      <c r="N1" s="16" t="s">
        <v>31</v>
      </c>
      <c r="O1" s="16" t="s">
        <v>20</v>
      </c>
      <c r="P1" s="16" t="s">
        <v>24</v>
      </c>
      <c r="Q1" s="16" t="s">
        <v>26</v>
      </c>
    </row>
    <row r="2" spans="1:17" ht="25.5" x14ac:dyDescent="0.25">
      <c r="A2" s="115" t="s">
        <v>160</v>
      </c>
      <c r="B2" s="106">
        <v>44554</v>
      </c>
      <c r="C2" s="20" t="s">
        <v>159</v>
      </c>
      <c r="D2" s="20">
        <v>40</v>
      </c>
      <c r="E2" s="20">
        <v>48</v>
      </c>
      <c r="F2" s="20">
        <v>55</v>
      </c>
      <c r="G2" s="57">
        <v>50</v>
      </c>
      <c r="H2" s="101">
        <v>3</v>
      </c>
      <c r="I2" s="101">
        <v>5</v>
      </c>
      <c r="J2" s="101">
        <v>27</v>
      </c>
      <c r="K2" s="101"/>
      <c r="L2" s="101"/>
      <c r="M2" s="101">
        <v>6</v>
      </c>
      <c r="N2" s="101">
        <v>2</v>
      </c>
      <c r="O2" s="101">
        <v>3</v>
      </c>
      <c r="P2" s="101">
        <v>4</v>
      </c>
      <c r="Q2" s="101"/>
    </row>
    <row r="3" spans="1:17" ht="25.5" x14ac:dyDescent="0.25">
      <c r="A3" s="115" t="s">
        <v>160</v>
      </c>
      <c r="B3" s="106">
        <v>44554</v>
      </c>
      <c r="C3" s="20" t="s">
        <v>157</v>
      </c>
      <c r="D3" s="20">
        <v>40</v>
      </c>
      <c r="E3" s="20">
        <v>48</v>
      </c>
      <c r="F3" s="20">
        <v>55</v>
      </c>
      <c r="G3" s="57">
        <v>49</v>
      </c>
      <c r="H3" s="101">
        <v>5</v>
      </c>
      <c r="I3" s="101">
        <v>8</v>
      </c>
      <c r="J3" s="101">
        <v>25</v>
      </c>
      <c r="K3" s="101"/>
      <c r="L3" s="101"/>
      <c r="M3" s="101">
        <v>6</v>
      </c>
      <c r="N3" s="101">
        <v>2</v>
      </c>
      <c r="O3" s="101">
        <v>2</v>
      </c>
      <c r="P3" s="101">
        <v>1</v>
      </c>
      <c r="Q3" s="101"/>
    </row>
    <row r="4" spans="1:17" ht="25.5" x14ac:dyDescent="0.25">
      <c r="A4" s="18" t="s">
        <v>105</v>
      </c>
      <c r="B4" s="107">
        <v>44547</v>
      </c>
      <c r="C4" s="20" t="s">
        <v>106</v>
      </c>
      <c r="D4" s="20">
        <v>26</v>
      </c>
      <c r="E4" s="20">
        <v>33</v>
      </c>
      <c r="F4" s="20">
        <v>39</v>
      </c>
      <c r="G4" s="57">
        <v>35</v>
      </c>
      <c r="H4" s="101">
        <v>1</v>
      </c>
      <c r="I4" s="101">
        <v>8</v>
      </c>
      <c r="J4" s="101">
        <v>21</v>
      </c>
      <c r="K4" s="101"/>
      <c r="L4" s="101"/>
      <c r="M4" s="101"/>
      <c r="N4" s="101"/>
      <c r="O4" s="101">
        <v>5</v>
      </c>
      <c r="P4" s="101"/>
      <c r="Q4" s="101"/>
    </row>
    <row r="5" spans="1:17" ht="25.5" x14ac:dyDescent="0.25">
      <c r="A5" s="115" t="s">
        <v>160</v>
      </c>
      <c r="B5" s="106">
        <v>44554</v>
      </c>
      <c r="C5" s="20" t="s">
        <v>158</v>
      </c>
      <c r="D5" s="20">
        <v>40</v>
      </c>
      <c r="E5" s="20">
        <v>48</v>
      </c>
      <c r="F5" s="20">
        <v>55</v>
      </c>
      <c r="G5" s="57">
        <v>29</v>
      </c>
      <c r="H5" s="101">
        <v>3</v>
      </c>
      <c r="I5" s="101">
        <v>2</v>
      </c>
      <c r="J5" s="101">
        <v>16</v>
      </c>
      <c r="K5" s="101"/>
      <c r="L5" s="101"/>
      <c r="M5" s="101">
        <v>2</v>
      </c>
      <c r="N5" s="101">
        <v>1</v>
      </c>
      <c r="O5" s="101">
        <v>3</v>
      </c>
      <c r="P5" s="101">
        <v>2</v>
      </c>
      <c r="Q5" s="101"/>
    </row>
    <row r="6" spans="1:17" ht="25.5" x14ac:dyDescent="0.25">
      <c r="A6" s="18" t="s">
        <v>111</v>
      </c>
      <c r="B6" s="104">
        <v>44533</v>
      </c>
      <c r="C6" s="20" t="s">
        <v>103</v>
      </c>
      <c r="D6" s="20">
        <v>120</v>
      </c>
      <c r="E6" s="20">
        <v>160</v>
      </c>
      <c r="F6" s="20">
        <v>200</v>
      </c>
      <c r="G6" s="20">
        <v>25</v>
      </c>
      <c r="H6" s="101">
        <v>4</v>
      </c>
      <c r="I6" s="101"/>
      <c r="J6" s="101">
        <v>11</v>
      </c>
      <c r="K6" s="101">
        <v>1</v>
      </c>
      <c r="L6" s="101">
        <v>2</v>
      </c>
      <c r="M6" s="101">
        <v>3</v>
      </c>
      <c r="N6" s="101"/>
      <c r="O6" s="101">
        <v>1</v>
      </c>
      <c r="P6" s="101"/>
      <c r="Q6" s="101">
        <v>3</v>
      </c>
    </row>
    <row r="7" spans="1:17" ht="25.5" x14ac:dyDescent="0.25">
      <c r="A7" s="18" t="s">
        <v>113</v>
      </c>
      <c r="B7" s="107">
        <v>44547</v>
      </c>
      <c r="C7" s="20" t="s">
        <v>107</v>
      </c>
      <c r="D7" s="20">
        <v>50</v>
      </c>
      <c r="E7" s="20">
        <v>59</v>
      </c>
      <c r="F7" s="20">
        <v>65</v>
      </c>
      <c r="G7" s="57">
        <v>22</v>
      </c>
      <c r="H7" s="101">
        <v>5</v>
      </c>
      <c r="I7" s="101">
        <v>10</v>
      </c>
      <c r="J7" s="101">
        <v>6</v>
      </c>
      <c r="K7" s="101">
        <v>1</v>
      </c>
      <c r="L7" s="101"/>
      <c r="M7" s="101"/>
      <c r="N7" s="101"/>
      <c r="O7" s="101"/>
      <c r="P7" s="101"/>
      <c r="Q7" s="101"/>
    </row>
    <row r="8" spans="1:17" ht="25.5" x14ac:dyDescent="0.25">
      <c r="A8" s="18" t="s">
        <v>112</v>
      </c>
      <c r="B8" s="107">
        <v>44547</v>
      </c>
      <c r="C8" s="20" t="s">
        <v>108</v>
      </c>
      <c r="D8" s="20">
        <v>50</v>
      </c>
      <c r="E8" s="20">
        <v>59</v>
      </c>
      <c r="F8" s="20">
        <v>65</v>
      </c>
      <c r="G8" s="57">
        <v>18</v>
      </c>
      <c r="H8" s="101">
        <v>3</v>
      </c>
      <c r="I8" s="101">
        <v>10</v>
      </c>
      <c r="J8" s="101">
        <v>4</v>
      </c>
      <c r="K8" s="101">
        <v>1</v>
      </c>
      <c r="L8" s="101"/>
      <c r="M8" s="101"/>
      <c r="N8" s="101"/>
      <c r="O8" s="101"/>
      <c r="P8" s="101"/>
      <c r="Q8" s="101"/>
    </row>
    <row r="9" spans="1:17" ht="25.5" x14ac:dyDescent="0.25">
      <c r="A9" s="18" t="s">
        <v>111</v>
      </c>
      <c r="B9" s="104">
        <v>44533</v>
      </c>
      <c r="C9" s="20" t="s">
        <v>109</v>
      </c>
      <c r="D9" s="20">
        <v>37</v>
      </c>
      <c r="E9" s="20">
        <v>62</v>
      </c>
      <c r="F9" s="20">
        <v>75</v>
      </c>
      <c r="G9" s="20">
        <v>17</v>
      </c>
      <c r="H9" s="101">
        <v>1</v>
      </c>
      <c r="I9" s="101"/>
      <c r="J9" s="101">
        <v>11</v>
      </c>
      <c r="K9" s="101">
        <v>1</v>
      </c>
      <c r="L9" s="101"/>
      <c r="M9" s="101">
        <v>3</v>
      </c>
      <c r="N9" s="101"/>
      <c r="O9" s="101">
        <v>1</v>
      </c>
      <c r="P9" s="101"/>
      <c r="Q9" s="101"/>
    </row>
    <row r="10" spans="1:17" ht="25.5" x14ac:dyDescent="0.25">
      <c r="A10" s="18" t="s">
        <v>114</v>
      </c>
      <c r="B10" s="107">
        <v>44547</v>
      </c>
      <c r="C10" s="20" t="s">
        <v>110</v>
      </c>
      <c r="D10" s="20">
        <v>120</v>
      </c>
      <c r="E10" s="20">
        <v>141</v>
      </c>
      <c r="F10" s="20">
        <v>160</v>
      </c>
      <c r="G10" s="20">
        <v>17</v>
      </c>
      <c r="H10" s="101"/>
      <c r="I10" s="101"/>
      <c r="J10" s="101">
        <v>5</v>
      </c>
      <c r="K10" s="101">
        <v>6</v>
      </c>
      <c r="L10" s="101"/>
      <c r="M10" s="101">
        <v>2</v>
      </c>
      <c r="N10" s="101">
        <v>1</v>
      </c>
      <c r="O10" s="101">
        <v>1</v>
      </c>
      <c r="P10" s="101">
        <v>2</v>
      </c>
      <c r="Q10" s="101"/>
    </row>
    <row r="11" spans="1:17" ht="25.5" x14ac:dyDescent="0.25">
      <c r="A11" s="18" t="s">
        <v>105</v>
      </c>
      <c r="B11" s="104">
        <v>44540</v>
      </c>
      <c r="C11" s="20" t="s">
        <v>178</v>
      </c>
      <c r="D11" s="20">
        <v>85</v>
      </c>
      <c r="E11" s="20">
        <v>106</v>
      </c>
      <c r="F11" s="20">
        <v>130</v>
      </c>
      <c r="G11" s="20">
        <v>16</v>
      </c>
      <c r="H11" s="101"/>
      <c r="I11" s="101"/>
      <c r="J11" s="101">
        <v>7</v>
      </c>
      <c r="K11" s="101"/>
      <c r="L11" s="101"/>
      <c r="M11" s="101">
        <v>1</v>
      </c>
      <c r="N11" s="101">
        <v>1</v>
      </c>
      <c r="O11" s="101">
        <v>5</v>
      </c>
      <c r="P11" s="101"/>
      <c r="Q11" s="101">
        <v>2</v>
      </c>
    </row>
    <row r="12" spans="1:17" ht="25.5" x14ac:dyDescent="0.25">
      <c r="A12" s="18" t="s">
        <v>105</v>
      </c>
      <c r="B12" s="107">
        <v>44547</v>
      </c>
      <c r="C12" s="20" t="s">
        <v>119</v>
      </c>
      <c r="D12" s="20">
        <v>26</v>
      </c>
      <c r="E12" s="20">
        <v>33</v>
      </c>
      <c r="F12" s="20">
        <v>39</v>
      </c>
      <c r="G12" s="57">
        <v>16</v>
      </c>
      <c r="H12" s="101"/>
      <c r="I12" s="101">
        <v>5</v>
      </c>
      <c r="J12" s="101">
        <v>11</v>
      </c>
      <c r="K12" s="101"/>
      <c r="L12" s="101"/>
      <c r="M12" s="101"/>
      <c r="N12" s="101"/>
      <c r="O12" s="101"/>
      <c r="P12" s="101"/>
      <c r="Q12" s="101"/>
    </row>
    <row r="13" spans="1:17" ht="25.5" x14ac:dyDescent="0.25">
      <c r="A13" s="115" t="s">
        <v>160</v>
      </c>
      <c r="B13" s="106">
        <v>44554</v>
      </c>
      <c r="C13" s="20" t="s">
        <v>155</v>
      </c>
      <c r="D13" s="20">
        <v>85</v>
      </c>
      <c r="E13" s="20">
        <v>106</v>
      </c>
      <c r="F13" s="20">
        <v>130</v>
      </c>
      <c r="G13" s="57">
        <v>16</v>
      </c>
      <c r="H13" s="101">
        <v>3</v>
      </c>
      <c r="I13" s="101">
        <v>1</v>
      </c>
      <c r="J13" s="101">
        <v>6</v>
      </c>
      <c r="K13" s="101">
        <v>4</v>
      </c>
      <c r="L13" s="101"/>
      <c r="M13" s="101">
        <v>1</v>
      </c>
      <c r="N13" s="101"/>
      <c r="O13" s="101">
        <v>1</v>
      </c>
      <c r="P13" s="101"/>
      <c r="Q13" s="101"/>
    </row>
    <row r="14" spans="1:17" ht="25.5" x14ac:dyDescent="0.25">
      <c r="A14" s="18" t="s">
        <v>114</v>
      </c>
      <c r="B14" s="104">
        <v>44540</v>
      </c>
      <c r="C14" s="20" t="s">
        <v>120</v>
      </c>
      <c r="D14" s="20">
        <v>110</v>
      </c>
      <c r="E14" s="20">
        <v>138</v>
      </c>
      <c r="F14" s="20">
        <v>160</v>
      </c>
      <c r="G14" s="20">
        <v>14</v>
      </c>
      <c r="H14" s="101"/>
      <c r="I14" s="101"/>
      <c r="J14" s="101">
        <v>4</v>
      </c>
      <c r="K14" s="101">
        <v>3</v>
      </c>
      <c r="L14" s="101">
        <v>2</v>
      </c>
      <c r="M14" s="101">
        <v>3</v>
      </c>
      <c r="N14" s="101">
        <v>2</v>
      </c>
      <c r="O14" s="101"/>
      <c r="P14" s="101"/>
      <c r="Q14" s="101"/>
    </row>
    <row r="15" spans="1:17" ht="25.5" x14ac:dyDescent="0.25">
      <c r="A15" s="18" t="s">
        <v>105</v>
      </c>
      <c r="B15" s="107">
        <v>44547</v>
      </c>
      <c r="C15" s="20" t="s">
        <v>121</v>
      </c>
      <c r="D15" s="20">
        <v>35</v>
      </c>
      <c r="E15" s="20">
        <v>44</v>
      </c>
      <c r="F15" s="20">
        <v>55</v>
      </c>
      <c r="G15" s="57">
        <v>13</v>
      </c>
      <c r="H15" s="101">
        <v>3</v>
      </c>
      <c r="I15" s="101"/>
      <c r="J15" s="101">
        <v>7</v>
      </c>
      <c r="K15" s="101"/>
      <c r="L15" s="101"/>
      <c r="M15" s="101">
        <v>3</v>
      </c>
      <c r="N15" s="101">
        <v>1</v>
      </c>
      <c r="O15" s="101"/>
      <c r="P15" s="101"/>
      <c r="Q15" s="101"/>
    </row>
    <row r="16" spans="1:17" ht="25.5" x14ac:dyDescent="0.25">
      <c r="A16" s="18" t="s">
        <v>114</v>
      </c>
      <c r="B16" s="107">
        <v>44547</v>
      </c>
      <c r="C16" s="20" t="s">
        <v>122</v>
      </c>
      <c r="D16" s="20">
        <v>200</v>
      </c>
      <c r="E16" s="20">
        <v>233</v>
      </c>
      <c r="F16" s="20">
        <v>260</v>
      </c>
      <c r="G16" s="57">
        <v>13</v>
      </c>
      <c r="H16" s="101">
        <v>1</v>
      </c>
      <c r="I16" s="101"/>
      <c r="J16" s="101">
        <v>5</v>
      </c>
      <c r="K16" s="101">
        <v>3</v>
      </c>
      <c r="L16" s="101"/>
      <c r="M16" s="101">
        <v>4</v>
      </c>
      <c r="N16" s="101">
        <v>1</v>
      </c>
      <c r="O16" s="101"/>
      <c r="P16" s="101"/>
      <c r="Q16" s="101"/>
    </row>
    <row r="17" spans="1:17" ht="25.5" x14ac:dyDescent="0.25">
      <c r="A17" s="18" t="s">
        <v>114</v>
      </c>
      <c r="B17" s="107">
        <v>44547</v>
      </c>
      <c r="C17" s="20" t="s">
        <v>123</v>
      </c>
      <c r="D17" s="20">
        <v>80</v>
      </c>
      <c r="E17" s="20">
        <v>89</v>
      </c>
      <c r="F17" s="20">
        <v>99</v>
      </c>
      <c r="G17" s="20">
        <v>13</v>
      </c>
      <c r="H17" s="101"/>
      <c r="I17" s="101"/>
      <c r="J17" s="101">
        <v>4</v>
      </c>
      <c r="K17" s="101"/>
      <c r="L17" s="101"/>
      <c r="M17" s="101">
        <v>2</v>
      </c>
      <c r="N17" s="101"/>
      <c r="O17" s="101">
        <v>4</v>
      </c>
      <c r="P17" s="101">
        <v>2</v>
      </c>
      <c r="Q17" s="101">
        <v>1</v>
      </c>
    </row>
    <row r="18" spans="1:17" ht="25.5" x14ac:dyDescent="0.25">
      <c r="A18" s="18" t="s">
        <v>111</v>
      </c>
      <c r="B18" s="104">
        <v>44533</v>
      </c>
      <c r="C18" s="20" t="s">
        <v>124</v>
      </c>
      <c r="D18" s="20">
        <v>100</v>
      </c>
      <c r="E18" s="20">
        <v>167</v>
      </c>
      <c r="F18" s="20">
        <v>210</v>
      </c>
      <c r="G18" s="20">
        <v>12</v>
      </c>
      <c r="H18" s="101">
        <v>2</v>
      </c>
      <c r="I18" s="101"/>
      <c r="J18" s="101">
        <v>3</v>
      </c>
      <c r="K18" s="101">
        <v>1</v>
      </c>
      <c r="L18" s="101"/>
      <c r="M18" s="101"/>
      <c r="N18" s="101"/>
      <c r="O18" s="101">
        <v>3</v>
      </c>
      <c r="P18" s="101">
        <v>5</v>
      </c>
      <c r="Q18" s="101"/>
    </row>
    <row r="19" spans="1:17" ht="25.5" x14ac:dyDescent="0.25">
      <c r="A19" s="18" t="s">
        <v>113</v>
      </c>
      <c r="B19" s="107">
        <v>44547</v>
      </c>
      <c r="C19" s="20" t="s">
        <v>125</v>
      </c>
      <c r="D19" s="20">
        <v>80</v>
      </c>
      <c r="E19" s="20">
        <v>100</v>
      </c>
      <c r="F19" s="20">
        <v>120</v>
      </c>
      <c r="G19" s="20">
        <v>12</v>
      </c>
      <c r="H19" s="101"/>
      <c r="I19" s="101"/>
      <c r="J19" s="101">
        <v>3</v>
      </c>
      <c r="K19" s="101">
        <v>2</v>
      </c>
      <c r="L19" s="101"/>
      <c r="M19" s="101">
        <v>4</v>
      </c>
      <c r="N19" s="101">
        <v>1</v>
      </c>
      <c r="O19" s="101"/>
      <c r="P19" s="101"/>
      <c r="Q19" s="101">
        <v>2</v>
      </c>
    </row>
    <row r="20" spans="1:17" ht="25.5" x14ac:dyDescent="0.25">
      <c r="A20" s="18" t="s">
        <v>111</v>
      </c>
      <c r="B20" s="104">
        <v>44533</v>
      </c>
      <c r="C20" s="20" t="s">
        <v>126</v>
      </c>
      <c r="D20" s="20">
        <v>120</v>
      </c>
      <c r="E20" s="20">
        <v>160</v>
      </c>
      <c r="F20" s="20">
        <v>200</v>
      </c>
      <c r="G20" s="20">
        <v>11</v>
      </c>
      <c r="H20" s="101">
        <v>4</v>
      </c>
      <c r="I20" s="101"/>
      <c r="J20" s="101">
        <v>2</v>
      </c>
      <c r="K20" s="101">
        <v>1</v>
      </c>
      <c r="L20" s="101"/>
      <c r="M20" s="101">
        <v>3</v>
      </c>
      <c r="N20" s="101"/>
      <c r="O20" s="101"/>
      <c r="P20" s="101"/>
      <c r="Q20" s="101">
        <v>1</v>
      </c>
    </row>
    <row r="21" spans="1:17" ht="25.5" x14ac:dyDescent="0.25">
      <c r="A21" s="18" t="s">
        <v>113</v>
      </c>
      <c r="B21" s="104">
        <v>44533</v>
      </c>
      <c r="C21" s="20" t="s">
        <v>127</v>
      </c>
      <c r="D21" s="20">
        <v>110</v>
      </c>
      <c r="E21" s="20">
        <v>138</v>
      </c>
      <c r="F21" s="20">
        <v>155</v>
      </c>
      <c r="G21" s="20">
        <v>9</v>
      </c>
      <c r="H21" s="101">
        <v>2</v>
      </c>
      <c r="I21" s="101"/>
      <c r="J21" s="101">
        <v>1</v>
      </c>
      <c r="K21" s="101">
        <v>2</v>
      </c>
      <c r="L21" s="101">
        <v>1</v>
      </c>
      <c r="M21" s="101"/>
      <c r="N21" s="101"/>
      <c r="O21" s="101">
        <v>2</v>
      </c>
      <c r="P21" s="101">
        <v>1</v>
      </c>
      <c r="Q21" s="101"/>
    </row>
    <row r="22" spans="1:17" ht="25.5" x14ac:dyDescent="0.25">
      <c r="A22" s="18" t="s">
        <v>113</v>
      </c>
      <c r="B22" s="107">
        <v>44547</v>
      </c>
      <c r="C22" s="20" t="s">
        <v>128</v>
      </c>
      <c r="D22" s="20">
        <v>80</v>
      </c>
      <c r="E22" s="20">
        <v>100</v>
      </c>
      <c r="F22" s="20">
        <v>120</v>
      </c>
      <c r="G22" s="20">
        <v>9</v>
      </c>
      <c r="H22" s="101"/>
      <c r="I22" s="101"/>
      <c r="J22" s="101">
        <v>1</v>
      </c>
      <c r="K22" s="101">
        <v>1</v>
      </c>
      <c r="L22" s="101"/>
      <c r="M22" s="101">
        <v>4</v>
      </c>
      <c r="N22" s="101">
        <v>1</v>
      </c>
      <c r="O22" s="101">
        <v>1</v>
      </c>
      <c r="P22" s="101"/>
      <c r="Q22" s="101">
        <v>1</v>
      </c>
    </row>
    <row r="23" spans="1:17" ht="25.5" x14ac:dyDescent="0.25">
      <c r="A23" s="18" t="s">
        <v>105</v>
      </c>
      <c r="B23" s="104">
        <v>44540</v>
      </c>
      <c r="C23" s="20" t="s">
        <v>129</v>
      </c>
      <c r="D23" s="20">
        <v>85</v>
      </c>
      <c r="E23" s="20">
        <v>106</v>
      </c>
      <c r="F23" s="20">
        <v>130</v>
      </c>
      <c r="G23" s="20">
        <v>8</v>
      </c>
      <c r="H23" s="101"/>
      <c r="I23" s="101"/>
      <c r="J23" s="101"/>
      <c r="K23" s="101"/>
      <c r="L23" s="101"/>
      <c r="M23" s="101">
        <v>1</v>
      </c>
      <c r="N23" s="101">
        <v>2</v>
      </c>
      <c r="O23" s="101">
        <v>3</v>
      </c>
      <c r="P23" s="101"/>
      <c r="Q23" s="101">
        <v>2</v>
      </c>
    </row>
    <row r="24" spans="1:17" ht="25.5" x14ac:dyDescent="0.25">
      <c r="A24" s="18" t="s">
        <v>105</v>
      </c>
      <c r="B24" s="107">
        <v>44547</v>
      </c>
      <c r="C24" s="20" t="s">
        <v>130</v>
      </c>
      <c r="D24" s="20">
        <v>35</v>
      </c>
      <c r="E24" s="20">
        <v>44</v>
      </c>
      <c r="F24" s="20">
        <v>55</v>
      </c>
      <c r="G24" s="57">
        <v>8</v>
      </c>
      <c r="H24" s="101">
        <v>1</v>
      </c>
      <c r="I24" s="101"/>
      <c r="J24" s="101">
        <v>4</v>
      </c>
      <c r="K24" s="101"/>
      <c r="L24" s="101"/>
      <c r="M24" s="101">
        <v>3</v>
      </c>
      <c r="N24" s="101">
        <v>1</v>
      </c>
      <c r="O24" s="101"/>
      <c r="P24" s="101"/>
      <c r="Q24" s="101"/>
    </row>
    <row r="25" spans="1:17" ht="25.5" x14ac:dyDescent="0.25">
      <c r="A25" s="18" t="s">
        <v>116</v>
      </c>
      <c r="B25" s="104">
        <v>44540</v>
      </c>
      <c r="C25" s="20" t="s">
        <v>131</v>
      </c>
      <c r="D25" s="20">
        <v>180</v>
      </c>
      <c r="E25" s="20">
        <v>240</v>
      </c>
      <c r="F25" s="20">
        <v>280</v>
      </c>
      <c r="G25" s="20">
        <v>7</v>
      </c>
      <c r="H25" s="101"/>
      <c r="I25" s="101"/>
      <c r="J25" s="101">
        <v>4</v>
      </c>
      <c r="K25" s="101"/>
      <c r="L25" s="101"/>
      <c r="M25" s="101">
        <v>2</v>
      </c>
      <c r="N25" s="101"/>
      <c r="O25" s="101">
        <v>1</v>
      </c>
      <c r="P25" s="101"/>
      <c r="Q25" s="101"/>
    </row>
    <row r="26" spans="1:17" ht="25.5" x14ac:dyDescent="0.25">
      <c r="A26" s="115" t="s">
        <v>160</v>
      </c>
      <c r="B26" s="106">
        <v>44554</v>
      </c>
      <c r="C26" s="20" t="s">
        <v>156</v>
      </c>
      <c r="D26" s="20">
        <v>85</v>
      </c>
      <c r="E26" s="20">
        <v>106</v>
      </c>
      <c r="F26" s="20">
        <v>130</v>
      </c>
      <c r="G26" s="57">
        <v>7</v>
      </c>
      <c r="H26" s="101"/>
      <c r="I26" s="101">
        <v>3</v>
      </c>
      <c r="J26" s="101"/>
      <c r="K26" s="101"/>
      <c r="L26" s="101"/>
      <c r="M26" s="101">
        <v>1</v>
      </c>
      <c r="N26" s="101">
        <v>1</v>
      </c>
      <c r="O26" s="101"/>
      <c r="P26" s="101"/>
      <c r="Q26" s="101">
        <v>2</v>
      </c>
    </row>
    <row r="27" spans="1:17" ht="25.5" x14ac:dyDescent="0.25">
      <c r="A27" s="18" t="s">
        <v>113</v>
      </c>
      <c r="B27" s="104">
        <v>44533</v>
      </c>
      <c r="C27" s="20" t="s">
        <v>132</v>
      </c>
      <c r="D27" s="20">
        <v>110</v>
      </c>
      <c r="E27" s="20">
        <v>138</v>
      </c>
      <c r="F27" s="20">
        <v>155</v>
      </c>
      <c r="G27" s="20">
        <v>6</v>
      </c>
      <c r="H27" s="101">
        <v>2</v>
      </c>
      <c r="I27" s="101"/>
      <c r="J27" s="101"/>
      <c r="K27" s="101">
        <v>2</v>
      </c>
      <c r="L27" s="101"/>
      <c r="M27" s="101"/>
      <c r="N27" s="101"/>
      <c r="O27" s="101">
        <v>1</v>
      </c>
      <c r="P27" s="101">
        <v>1</v>
      </c>
      <c r="Q27" s="101"/>
    </row>
    <row r="28" spans="1:17" ht="25.5" x14ac:dyDescent="0.25">
      <c r="A28" s="18" t="s">
        <v>105</v>
      </c>
      <c r="B28" s="104">
        <v>44533</v>
      </c>
      <c r="C28" s="20" t="s">
        <v>133</v>
      </c>
      <c r="D28" s="20">
        <v>100</v>
      </c>
      <c r="E28" s="20">
        <v>111</v>
      </c>
      <c r="F28" s="20">
        <v>125</v>
      </c>
      <c r="G28" s="20">
        <v>6</v>
      </c>
      <c r="H28" s="101"/>
      <c r="I28" s="101"/>
      <c r="J28" s="101">
        <v>1</v>
      </c>
      <c r="K28" s="101"/>
      <c r="L28" s="101">
        <v>2</v>
      </c>
      <c r="M28" s="101"/>
      <c r="N28" s="101"/>
      <c r="O28" s="101"/>
      <c r="P28" s="101"/>
      <c r="Q28" s="101"/>
    </row>
    <row r="29" spans="1:17" ht="25.5" x14ac:dyDescent="0.25">
      <c r="A29" s="18" t="s">
        <v>113</v>
      </c>
      <c r="B29" s="104">
        <v>44540</v>
      </c>
      <c r="C29" s="20" t="s">
        <v>134</v>
      </c>
      <c r="D29" s="20">
        <v>90</v>
      </c>
      <c r="E29" s="20">
        <v>129</v>
      </c>
      <c r="F29" s="20">
        <v>160</v>
      </c>
      <c r="G29" s="20">
        <v>6</v>
      </c>
      <c r="H29" s="101"/>
      <c r="I29" s="101"/>
      <c r="J29" s="101">
        <v>1</v>
      </c>
      <c r="K29" s="101">
        <v>1</v>
      </c>
      <c r="L29" s="101">
        <v>2</v>
      </c>
      <c r="M29" s="101"/>
      <c r="N29" s="101">
        <v>2</v>
      </c>
      <c r="O29" s="101"/>
      <c r="P29" s="101"/>
      <c r="Q29" s="101"/>
    </row>
    <row r="30" spans="1:17" ht="25.5" x14ac:dyDescent="0.25">
      <c r="A30" s="18" t="s">
        <v>113</v>
      </c>
      <c r="B30" s="104">
        <v>44540</v>
      </c>
      <c r="C30" s="20" t="s">
        <v>135</v>
      </c>
      <c r="D30" s="20">
        <v>110</v>
      </c>
      <c r="E30" s="20">
        <v>147</v>
      </c>
      <c r="F30" s="20">
        <v>185</v>
      </c>
      <c r="G30" s="20">
        <v>6</v>
      </c>
      <c r="H30" s="101"/>
      <c r="I30" s="101"/>
      <c r="J30" s="101">
        <v>2</v>
      </c>
      <c r="K30" s="101"/>
      <c r="L30" s="101">
        <v>2</v>
      </c>
      <c r="M30" s="101">
        <v>2</v>
      </c>
      <c r="N30" s="101"/>
      <c r="O30" s="101"/>
      <c r="P30" s="101"/>
      <c r="Q30" s="101"/>
    </row>
    <row r="31" spans="1:17" ht="25.5" x14ac:dyDescent="0.25">
      <c r="A31" s="18" t="s">
        <v>114</v>
      </c>
      <c r="B31" s="107">
        <v>44547</v>
      </c>
      <c r="C31" s="20" t="s">
        <v>136</v>
      </c>
      <c r="D31" s="20">
        <v>120</v>
      </c>
      <c r="E31" s="20">
        <v>141</v>
      </c>
      <c r="F31" s="20">
        <v>160</v>
      </c>
      <c r="G31" s="20">
        <v>6</v>
      </c>
      <c r="H31" s="101"/>
      <c r="I31" s="101"/>
      <c r="J31" s="101">
        <v>2</v>
      </c>
      <c r="K31" s="101"/>
      <c r="L31" s="101"/>
      <c r="M31" s="101">
        <v>2</v>
      </c>
      <c r="N31" s="101"/>
      <c r="O31" s="101">
        <v>2</v>
      </c>
      <c r="P31" s="101"/>
      <c r="Q31" s="101"/>
    </row>
    <row r="32" spans="1:17" ht="25.5" x14ac:dyDescent="0.25">
      <c r="A32" s="67" t="s">
        <v>111</v>
      </c>
      <c r="B32" s="104">
        <v>44533</v>
      </c>
      <c r="C32" s="102" t="s">
        <v>137</v>
      </c>
      <c r="D32" s="102">
        <v>100</v>
      </c>
      <c r="E32" s="102">
        <v>167</v>
      </c>
      <c r="F32" s="102">
        <v>210</v>
      </c>
      <c r="G32" s="102">
        <v>5</v>
      </c>
      <c r="H32" s="103">
        <v>2</v>
      </c>
      <c r="I32" s="103"/>
      <c r="J32" s="103"/>
      <c r="K32" s="103"/>
      <c r="L32" s="103">
        <v>2</v>
      </c>
      <c r="M32" s="103"/>
      <c r="N32" s="103"/>
      <c r="O32" s="103">
        <v>1</v>
      </c>
      <c r="P32" s="103"/>
      <c r="Q32" s="103"/>
    </row>
    <row r="33" spans="1:17" ht="25.5" x14ac:dyDescent="0.25">
      <c r="A33" s="67" t="s">
        <v>111</v>
      </c>
      <c r="B33" s="104">
        <v>44540</v>
      </c>
      <c r="C33" s="102" t="s">
        <v>138</v>
      </c>
      <c r="D33" s="102">
        <v>70</v>
      </c>
      <c r="E33" s="102">
        <v>117</v>
      </c>
      <c r="F33" s="102">
        <v>145</v>
      </c>
      <c r="G33" s="116">
        <v>3</v>
      </c>
      <c r="H33" s="103"/>
      <c r="I33" s="103"/>
      <c r="J33" s="103"/>
      <c r="K33" s="103"/>
      <c r="L33" s="103"/>
      <c r="M33" s="103"/>
      <c r="N33" s="103"/>
      <c r="O33" s="103">
        <v>3</v>
      </c>
      <c r="P33" s="103"/>
      <c r="Q33" s="103"/>
    </row>
    <row r="34" spans="1:17" ht="25.5" x14ac:dyDescent="0.25">
      <c r="A34" s="67" t="s">
        <v>111</v>
      </c>
      <c r="B34" s="106">
        <v>44554</v>
      </c>
      <c r="C34" s="102" t="s">
        <v>145</v>
      </c>
      <c r="D34" s="102">
        <v>70</v>
      </c>
      <c r="E34" s="102">
        <v>117</v>
      </c>
      <c r="F34" s="102">
        <v>145</v>
      </c>
      <c r="G34" s="116">
        <v>3</v>
      </c>
      <c r="H34" s="103"/>
      <c r="I34" s="103">
        <v>1</v>
      </c>
      <c r="J34" s="103"/>
      <c r="K34" s="103"/>
      <c r="L34" s="103"/>
      <c r="M34" s="103"/>
      <c r="N34" s="103">
        <v>2</v>
      </c>
      <c r="O34" s="103"/>
      <c r="P34" s="103"/>
      <c r="Q34" s="103"/>
    </row>
    <row r="35" spans="1:17" ht="25.5" x14ac:dyDescent="0.25">
      <c r="A35" s="18" t="s">
        <v>111</v>
      </c>
      <c r="B35" s="106">
        <v>44554</v>
      </c>
      <c r="C35" s="20" t="s">
        <v>144</v>
      </c>
      <c r="D35" s="20">
        <v>70</v>
      </c>
      <c r="E35" s="20">
        <v>117</v>
      </c>
      <c r="F35" s="20">
        <v>145</v>
      </c>
      <c r="G35" s="57">
        <v>2</v>
      </c>
      <c r="H35" s="101"/>
      <c r="I35" s="101">
        <v>1</v>
      </c>
      <c r="J35" s="101"/>
      <c r="K35" s="101"/>
      <c r="L35" s="101"/>
      <c r="M35" s="101"/>
      <c r="N35" s="101">
        <v>1</v>
      </c>
      <c r="O35" s="101"/>
      <c r="P35" s="101"/>
      <c r="Q35" s="101"/>
    </row>
    <row r="36" spans="1:17" ht="25.5" x14ac:dyDescent="0.25">
      <c r="A36" s="18" t="s">
        <v>111</v>
      </c>
      <c r="B36" s="106">
        <v>44554</v>
      </c>
      <c r="C36" s="20" t="s">
        <v>146</v>
      </c>
      <c r="D36" s="102">
        <v>70</v>
      </c>
      <c r="E36" s="102">
        <v>117</v>
      </c>
      <c r="F36" s="102">
        <v>145</v>
      </c>
      <c r="G36" s="57">
        <v>2</v>
      </c>
      <c r="H36" s="101">
        <v>1</v>
      </c>
      <c r="I36" s="101">
        <v>1</v>
      </c>
      <c r="J36" s="101"/>
      <c r="K36" s="101"/>
      <c r="L36" s="101"/>
      <c r="M36" s="101"/>
      <c r="N36" s="101"/>
      <c r="O36" s="101"/>
      <c r="P36" s="101"/>
      <c r="Q36" s="101"/>
    </row>
    <row r="37" spans="1:17" ht="25.5" x14ac:dyDescent="0.25">
      <c r="A37" s="18" t="s">
        <v>105</v>
      </c>
      <c r="B37" s="104">
        <v>44533</v>
      </c>
      <c r="C37" s="20" t="s">
        <v>139</v>
      </c>
      <c r="D37" s="102">
        <v>90</v>
      </c>
      <c r="E37" s="102">
        <v>129</v>
      </c>
      <c r="F37" s="102">
        <v>160</v>
      </c>
      <c r="G37" s="20">
        <v>1</v>
      </c>
      <c r="H37" s="101"/>
      <c r="I37" s="101"/>
      <c r="J37" s="101"/>
      <c r="K37" s="101">
        <v>1</v>
      </c>
      <c r="L37" s="101"/>
      <c r="M37" s="101"/>
      <c r="N37" s="101"/>
      <c r="O37" s="101"/>
      <c r="P37" s="101"/>
      <c r="Q37" s="101"/>
    </row>
    <row r="38" spans="1:17" ht="25.5" x14ac:dyDescent="0.25">
      <c r="A38" s="18" t="s">
        <v>117</v>
      </c>
      <c r="B38" s="104">
        <v>44533</v>
      </c>
      <c r="C38" s="20" t="s">
        <v>140</v>
      </c>
      <c r="D38" s="102">
        <v>284</v>
      </c>
      <c r="E38" s="102">
        <v>316</v>
      </c>
      <c r="F38" s="102">
        <v>350</v>
      </c>
      <c r="G38" s="20">
        <v>1</v>
      </c>
      <c r="H38" s="101"/>
      <c r="I38" s="101"/>
      <c r="J38" s="101">
        <v>1</v>
      </c>
      <c r="K38" s="101"/>
      <c r="L38" s="101"/>
      <c r="M38" s="101"/>
      <c r="N38" s="101"/>
      <c r="O38" s="101"/>
      <c r="P38" s="101"/>
      <c r="Q38" s="101"/>
    </row>
    <row r="39" spans="1:17" ht="25.5" x14ac:dyDescent="0.25">
      <c r="A39" s="18" t="s">
        <v>111</v>
      </c>
      <c r="B39" s="104">
        <v>44540</v>
      </c>
      <c r="C39" s="20" t="s">
        <v>141</v>
      </c>
      <c r="D39" s="102">
        <v>105</v>
      </c>
      <c r="E39" s="102">
        <v>130</v>
      </c>
      <c r="F39" s="102">
        <v>145</v>
      </c>
      <c r="G39" s="20">
        <v>1</v>
      </c>
      <c r="H39" s="101"/>
      <c r="I39" s="101"/>
      <c r="J39" s="101"/>
      <c r="K39" s="101"/>
      <c r="L39" s="101"/>
      <c r="M39" s="101">
        <v>1</v>
      </c>
      <c r="N39" s="101"/>
      <c r="O39" s="101"/>
      <c r="P39" s="101"/>
      <c r="Q39" s="101"/>
    </row>
    <row r="40" spans="1:17" ht="25.5" x14ac:dyDescent="0.25">
      <c r="A40" s="18" t="s">
        <v>111</v>
      </c>
      <c r="B40" s="104">
        <v>44540</v>
      </c>
      <c r="C40" s="20" t="s">
        <v>142</v>
      </c>
      <c r="D40" s="20">
        <v>70</v>
      </c>
      <c r="E40" s="20">
        <v>117</v>
      </c>
      <c r="F40" s="20">
        <v>145</v>
      </c>
      <c r="G40" s="57">
        <v>1</v>
      </c>
      <c r="H40" s="101"/>
      <c r="I40" s="101"/>
      <c r="J40" s="101"/>
      <c r="K40" s="101"/>
      <c r="L40" s="101"/>
      <c r="M40" s="101"/>
      <c r="N40" s="101"/>
      <c r="O40" s="101">
        <v>1</v>
      </c>
      <c r="P40" s="101"/>
      <c r="Q40" s="101"/>
    </row>
    <row r="41" spans="1:17" ht="25.5" x14ac:dyDescent="0.25">
      <c r="A41" s="18" t="s">
        <v>165</v>
      </c>
      <c r="B41" s="106">
        <v>44554</v>
      </c>
      <c r="C41" s="101" t="s">
        <v>161</v>
      </c>
      <c r="D41" s="101">
        <v>150</v>
      </c>
      <c r="E41" s="101">
        <v>176</v>
      </c>
      <c r="F41" s="101">
        <v>199</v>
      </c>
      <c r="G41" s="101">
        <v>17</v>
      </c>
      <c r="H41" s="101"/>
      <c r="I41" s="101">
        <v>7</v>
      </c>
      <c r="J41" s="101">
        <v>7</v>
      </c>
      <c r="K41" s="101"/>
      <c r="L41" s="101"/>
      <c r="M41" s="101">
        <v>1</v>
      </c>
      <c r="N41" s="101"/>
      <c r="O41" s="101">
        <v>2</v>
      </c>
      <c r="P41" s="101"/>
      <c r="Q41" s="101"/>
    </row>
    <row r="42" spans="1:17" ht="25.5" x14ac:dyDescent="0.25">
      <c r="A42" s="18" t="s">
        <v>165</v>
      </c>
      <c r="B42" s="106">
        <v>44554</v>
      </c>
      <c r="C42" s="101" t="s">
        <v>162</v>
      </c>
      <c r="D42" s="101">
        <v>105</v>
      </c>
      <c r="E42" s="101">
        <v>119</v>
      </c>
      <c r="F42" s="101">
        <v>135</v>
      </c>
      <c r="G42" s="101">
        <v>11</v>
      </c>
      <c r="H42" s="101"/>
      <c r="I42" s="101">
        <v>5</v>
      </c>
      <c r="J42" s="101">
        <v>3</v>
      </c>
      <c r="K42" s="101"/>
      <c r="L42" s="101"/>
      <c r="M42" s="101">
        <v>2</v>
      </c>
      <c r="N42" s="101"/>
      <c r="O42" s="101">
        <v>1</v>
      </c>
      <c r="P42" s="101"/>
      <c r="Q42" s="101"/>
    </row>
    <row r="43" spans="1:17" ht="25.5" x14ac:dyDescent="0.25">
      <c r="A43" s="18" t="s">
        <v>111</v>
      </c>
      <c r="B43" s="106">
        <v>44554</v>
      </c>
      <c r="C43" s="101" t="s">
        <v>163</v>
      </c>
      <c r="D43" s="101">
        <v>120</v>
      </c>
      <c r="E43" s="101">
        <v>150</v>
      </c>
      <c r="F43" s="101">
        <v>179</v>
      </c>
      <c r="G43" s="101">
        <v>11</v>
      </c>
      <c r="H43" s="101"/>
      <c r="I43" s="101">
        <v>1</v>
      </c>
      <c r="J43" s="101">
        <v>4</v>
      </c>
      <c r="K43" s="101"/>
      <c r="L43" s="101"/>
      <c r="M43" s="101">
        <v>2</v>
      </c>
      <c r="N43" s="101">
        <v>2</v>
      </c>
      <c r="O43" s="101">
        <v>1</v>
      </c>
      <c r="P43" s="101"/>
      <c r="Q43" s="101">
        <v>1</v>
      </c>
    </row>
    <row r="44" spans="1:17" ht="25.5" x14ac:dyDescent="0.25">
      <c r="A44" s="18" t="s">
        <v>111</v>
      </c>
      <c r="B44" s="106">
        <v>44554</v>
      </c>
      <c r="C44" s="101" t="s">
        <v>164</v>
      </c>
      <c r="D44" s="101">
        <v>130</v>
      </c>
      <c r="E44" s="101">
        <v>159</v>
      </c>
      <c r="F44" s="101">
        <v>189</v>
      </c>
      <c r="G44" s="101">
        <v>9</v>
      </c>
      <c r="H44" s="101"/>
      <c r="I44" s="101">
        <v>1</v>
      </c>
      <c r="J44" s="101"/>
      <c r="K44" s="101"/>
      <c r="L44" s="101"/>
      <c r="M44" s="101">
        <v>5</v>
      </c>
      <c r="N44" s="101"/>
      <c r="O44" s="101">
        <v>2</v>
      </c>
      <c r="P44" s="101"/>
      <c r="Q44" s="101">
        <v>1</v>
      </c>
    </row>
  </sheetData>
  <autoFilter ref="A1:Q44"/>
  <sortState ref="A2:Q40">
    <sortCondition descending="1" ref="G2:G40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tabSelected="1" workbookViewId="0">
      <pane ySplit="1" topLeftCell="A2" activePane="bottomLeft" state="frozen"/>
      <selection pane="bottomLeft" activeCell="Q1" sqref="Q1"/>
    </sheetView>
  </sheetViews>
  <sheetFormatPr defaultRowHeight="16.5" x14ac:dyDescent="0.25"/>
  <cols>
    <col min="1" max="1" width="9.5" style="117" bestFit="1" customWidth="1"/>
    <col min="2" max="2" width="9.5" style="4" bestFit="1" customWidth="1"/>
    <col min="3" max="3" width="4.375" style="4" customWidth="1"/>
    <col min="4" max="4" width="18.125" customWidth="1"/>
    <col min="5" max="5" width="13.5" bestFit="1" customWidth="1"/>
    <col min="6" max="6" width="15.625" bestFit="1" customWidth="1"/>
    <col min="7" max="7" width="13.5" style="4" bestFit="1" customWidth="1"/>
    <col min="8" max="8" width="9.5" style="4" bestFit="1" customWidth="1"/>
    <col min="9" max="9" width="8.375" customWidth="1"/>
    <col min="10" max="10" width="9.25" customWidth="1"/>
  </cols>
  <sheetData>
    <row r="1" spans="1:10" x14ac:dyDescent="0.25">
      <c r="A1" s="120" t="s">
        <v>170</v>
      </c>
      <c r="B1" s="51" t="s">
        <v>174</v>
      </c>
      <c r="C1" s="51" t="s">
        <v>175</v>
      </c>
      <c r="D1" s="51" t="s">
        <v>171</v>
      </c>
      <c r="E1" s="51" t="s">
        <v>172</v>
      </c>
      <c r="F1" s="51" t="s">
        <v>173</v>
      </c>
      <c r="G1" s="51" t="s">
        <v>180</v>
      </c>
      <c r="H1" s="19" t="s">
        <v>179</v>
      </c>
      <c r="I1" s="51" t="s">
        <v>176</v>
      </c>
      <c r="J1" s="19" t="s">
        <v>177</v>
      </c>
    </row>
    <row r="2" spans="1:10" x14ac:dyDescent="0.25">
      <c r="A2" s="104">
        <v>44603</v>
      </c>
      <c r="B2" s="5" t="s">
        <v>22</v>
      </c>
      <c r="C2" s="5">
        <v>41</v>
      </c>
      <c r="D2" s="5" t="s">
        <v>192</v>
      </c>
      <c r="E2" s="5">
        <v>30</v>
      </c>
      <c r="F2" s="5">
        <v>44</v>
      </c>
      <c r="G2" s="5">
        <v>55</v>
      </c>
      <c r="H2" s="5">
        <f>F2-E2</f>
        <v>14</v>
      </c>
      <c r="I2" s="5">
        <v>2</v>
      </c>
      <c r="J2" s="5">
        <f>F2*I2</f>
        <v>88</v>
      </c>
    </row>
    <row r="3" spans="1:10" x14ac:dyDescent="0.25">
      <c r="A3" s="104">
        <v>44603</v>
      </c>
      <c r="B3" s="5" t="s">
        <v>22</v>
      </c>
      <c r="C3" s="5">
        <v>41</v>
      </c>
      <c r="D3" s="5" t="s">
        <v>194</v>
      </c>
      <c r="E3" s="5">
        <v>34</v>
      </c>
      <c r="F3" s="5">
        <v>45</v>
      </c>
      <c r="G3" s="5">
        <v>55</v>
      </c>
      <c r="H3" s="5">
        <f t="shared" ref="H3:H66" si="0">F3-E3</f>
        <v>11</v>
      </c>
      <c r="I3" s="5">
        <v>4</v>
      </c>
      <c r="J3" s="5">
        <f t="shared" ref="J3:J66" si="1">F3*I3</f>
        <v>180</v>
      </c>
    </row>
    <row r="4" spans="1:10" x14ac:dyDescent="0.25">
      <c r="A4" s="104">
        <v>44603</v>
      </c>
      <c r="B4" s="5" t="s">
        <v>22</v>
      </c>
      <c r="C4" s="5">
        <v>41</v>
      </c>
      <c r="D4" s="5" t="s">
        <v>196</v>
      </c>
      <c r="E4" s="5">
        <v>26</v>
      </c>
      <c r="F4" s="5">
        <v>33</v>
      </c>
      <c r="G4" s="5">
        <v>39</v>
      </c>
      <c r="H4" s="5">
        <f t="shared" si="0"/>
        <v>7</v>
      </c>
      <c r="I4" s="5"/>
      <c r="J4" s="5">
        <f t="shared" si="1"/>
        <v>0</v>
      </c>
    </row>
    <row r="5" spans="1:10" x14ac:dyDescent="0.25">
      <c r="A5" s="104">
        <v>44603</v>
      </c>
      <c r="B5" s="5" t="s">
        <v>22</v>
      </c>
      <c r="C5" s="5">
        <v>41</v>
      </c>
      <c r="D5" s="5" t="s">
        <v>198</v>
      </c>
      <c r="E5" s="5">
        <v>26</v>
      </c>
      <c r="F5" s="5">
        <v>33</v>
      </c>
      <c r="G5" s="5">
        <v>39</v>
      </c>
      <c r="H5" s="5">
        <f t="shared" si="0"/>
        <v>7</v>
      </c>
      <c r="I5" s="5"/>
      <c r="J5" s="5">
        <f t="shared" si="1"/>
        <v>0</v>
      </c>
    </row>
    <row r="6" spans="1:10" x14ac:dyDescent="0.25">
      <c r="A6" s="104">
        <v>44603</v>
      </c>
      <c r="B6" s="5" t="s">
        <v>19</v>
      </c>
      <c r="C6" s="5">
        <v>78</v>
      </c>
      <c r="D6" s="5" t="s">
        <v>191</v>
      </c>
      <c r="E6" s="5">
        <v>30</v>
      </c>
      <c r="F6" s="5">
        <v>44</v>
      </c>
      <c r="G6" s="5">
        <v>55</v>
      </c>
      <c r="H6" s="5">
        <f t="shared" si="0"/>
        <v>14</v>
      </c>
      <c r="I6" s="5"/>
      <c r="J6" s="5">
        <f t="shared" si="1"/>
        <v>0</v>
      </c>
    </row>
    <row r="7" spans="1:10" x14ac:dyDescent="0.25">
      <c r="A7" s="104">
        <v>44603</v>
      </c>
      <c r="B7" s="5" t="s">
        <v>19</v>
      </c>
      <c r="C7" s="5">
        <v>78</v>
      </c>
      <c r="D7" s="5" t="s">
        <v>193</v>
      </c>
      <c r="E7" s="5">
        <v>34</v>
      </c>
      <c r="F7" s="5">
        <v>45</v>
      </c>
      <c r="G7" s="5">
        <v>55</v>
      </c>
      <c r="H7" s="5">
        <f t="shared" si="0"/>
        <v>11</v>
      </c>
      <c r="I7" s="5">
        <v>2</v>
      </c>
      <c r="J7" s="5">
        <f t="shared" si="1"/>
        <v>90</v>
      </c>
    </row>
    <row r="8" spans="1:10" x14ac:dyDescent="0.25">
      <c r="A8" s="104">
        <v>44603</v>
      </c>
      <c r="B8" s="5" t="s">
        <v>19</v>
      </c>
      <c r="C8" s="5">
        <v>78</v>
      </c>
      <c r="D8" s="5" t="s">
        <v>195</v>
      </c>
      <c r="E8" s="5">
        <v>26</v>
      </c>
      <c r="F8" s="5">
        <v>33</v>
      </c>
      <c r="G8" s="5">
        <v>39</v>
      </c>
      <c r="H8" s="5">
        <f t="shared" si="0"/>
        <v>7</v>
      </c>
      <c r="I8" s="5">
        <v>12</v>
      </c>
      <c r="J8" s="5">
        <f t="shared" si="1"/>
        <v>396</v>
      </c>
    </row>
    <row r="9" spans="1:10" x14ac:dyDescent="0.25">
      <c r="A9" s="104">
        <v>44603</v>
      </c>
      <c r="B9" s="5" t="s">
        <v>19</v>
      </c>
      <c r="C9" s="5">
        <v>78</v>
      </c>
      <c r="D9" s="5" t="s">
        <v>197</v>
      </c>
      <c r="E9" s="5">
        <v>26</v>
      </c>
      <c r="F9" s="5">
        <v>33</v>
      </c>
      <c r="G9" s="5">
        <v>39</v>
      </c>
      <c r="H9" s="5">
        <f t="shared" si="0"/>
        <v>7</v>
      </c>
      <c r="I9" s="5">
        <v>7</v>
      </c>
      <c r="J9" s="5">
        <f t="shared" si="1"/>
        <v>231</v>
      </c>
    </row>
    <row r="10" spans="1:10" x14ac:dyDescent="0.25">
      <c r="A10" s="104">
        <v>44603</v>
      </c>
      <c r="B10" s="5" t="s">
        <v>21</v>
      </c>
      <c r="C10" s="5">
        <v>53</v>
      </c>
      <c r="D10" s="5" t="s">
        <v>191</v>
      </c>
      <c r="E10" s="5">
        <v>30</v>
      </c>
      <c r="F10" s="5">
        <v>44</v>
      </c>
      <c r="G10" s="5">
        <v>55</v>
      </c>
      <c r="H10" s="5">
        <f t="shared" si="0"/>
        <v>14</v>
      </c>
      <c r="I10" s="5"/>
      <c r="J10" s="5">
        <f t="shared" si="1"/>
        <v>0</v>
      </c>
    </row>
    <row r="11" spans="1:10" x14ac:dyDescent="0.25">
      <c r="A11" s="104">
        <v>44603</v>
      </c>
      <c r="B11" s="5" t="s">
        <v>21</v>
      </c>
      <c r="C11" s="5">
        <v>53</v>
      </c>
      <c r="D11" s="5" t="s">
        <v>193</v>
      </c>
      <c r="E11" s="5">
        <v>34</v>
      </c>
      <c r="F11" s="5">
        <v>45</v>
      </c>
      <c r="G11" s="5">
        <v>55</v>
      </c>
      <c r="H11" s="5">
        <f t="shared" si="0"/>
        <v>11</v>
      </c>
      <c r="I11" s="5">
        <v>2</v>
      </c>
      <c r="J11" s="5">
        <f t="shared" si="1"/>
        <v>90</v>
      </c>
    </row>
    <row r="12" spans="1:10" x14ac:dyDescent="0.25">
      <c r="A12" s="104">
        <v>44603</v>
      </c>
      <c r="B12" s="5" t="s">
        <v>21</v>
      </c>
      <c r="C12" s="5">
        <v>53</v>
      </c>
      <c r="D12" s="5" t="s">
        <v>195</v>
      </c>
      <c r="E12" s="5">
        <v>26</v>
      </c>
      <c r="F12" s="5">
        <v>33</v>
      </c>
      <c r="G12" s="5">
        <v>39</v>
      </c>
      <c r="H12" s="5">
        <f t="shared" si="0"/>
        <v>7</v>
      </c>
      <c r="I12" s="5">
        <v>5</v>
      </c>
      <c r="J12" s="5">
        <f t="shared" si="1"/>
        <v>165</v>
      </c>
    </row>
    <row r="13" spans="1:10" x14ac:dyDescent="0.25">
      <c r="A13" s="104">
        <v>44603</v>
      </c>
      <c r="B13" s="5" t="s">
        <v>21</v>
      </c>
      <c r="C13" s="5">
        <v>53</v>
      </c>
      <c r="D13" s="5" t="s">
        <v>197</v>
      </c>
      <c r="E13" s="5">
        <v>26</v>
      </c>
      <c r="F13" s="5">
        <v>33</v>
      </c>
      <c r="G13" s="5">
        <v>39</v>
      </c>
      <c r="H13" s="5">
        <f t="shared" si="0"/>
        <v>7</v>
      </c>
      <c r="I13" s="5">
        <v>10</v>
      </c>
      <c r="J13" s="5">
        <f t="shared" si="1"/>
        <v>330</v>
      </c>
    </row>
    <row r="14" spans="1:10" x14ac:dyDescent="0.25">
      <c r="A14" s="104">
        <v>44603</v>
      </c>
      <c r="B14" s="5" t="s">
        <v>89</v>
      </c>
      <c r="C14" s="5">
        <v>32</v>
      </c>
      <c r="D14" s="5" t="s">
        <v>191</v>
      </c>
      <c r="E14" s="5">
        <v>30</v>
      </c>
      <c r="F14" s="5">
        <v>44</v>
      </c>
      <c r="G14" s="5">
        <v>55</v>
      </c>
      <c r="H14" s="5">
        <f t="shared" si="0"/>
        <v>14</v>
      </c>
      <c r="I14" s="5">
        <v>2</v>
      </c>
      <c r="J14" s="5">
        <f t="shared" si="1"/>
        <v>88</v>
      </c>
    </row>
    <row r="15" spans="1:10" x14ac:dyDescent="0.25">
      <c r="A15" s="104">
        <v>44603</v>
      </c>
      <c r="B15" s="5" t="s">
        <v>89</v>
      </c>
      <c r="C15" s="5">
        <v>32</v>
      </c>
      <c r="D15" s="5" t="s">
        <v>193</v>
      </c>
      <c r="E15" s="5">
        <v>34</v>
      </c>
      <c r="F15" s="5">
        <v>45</v>
      </c>
      <c r="G15" s="5">
        <v>55</v>
      </c>
      <c r="H15" s="5">
        <f t="shared" si="0"/>
        <v>11</v>
      </c>
      <c r="I15" s="5">
        <v>5</v>
      </c>
      <c r="J15" s="5">
        <f t="shared" si="1"/>
        <v>225</v>
      </c>
    </row>
    <row r="16" spans="1:10" x14ac:dyDescent="0.25">
      <c r="A16" s="104">
        <v>44603</v>
      </c>
      <c r="B16" s="5" t="s">
        <v>89</v>
      </c>
      <c r="C16" s="5">
        <v>32</v>
      </c>
      <c r="D16" s="5" t="s">
        <v>195</v>
      </c>
      <c r="E16" s="5">
        <v>26</v>
      </c>
      <c r="F16" s="5">
        <v>33</v>
      </c>
      <c r="G16" s="5">
        <v>39</v>
      </c>
      <c r="H16" s="5">
        <f t="shared" si="0"/>
        <v>7</v>
      </c>
      <c r="I16" s="5">
        <v>3</v>
      </c>
      <c r="J16" s="5">
        <f t="shared" si="1"/>
        <v>99</v>
      </c>
    </row>
    <row r="17" spans="1:10" x14ac:dyDescent="0.25">
      <c r="A17" s="104">
        <v>44603</v>
      </c>
      <c r="B17" s="5" t="s">
        <v>89</v>
      </c>
      <c r="C17" s="5">
        <v>32</v>
      </c>
      <c r="D17" s="5" t="s">
        <v>197</v>
      </c>
      <c r="E17" s="5">
        <v>26</v>
      </c>
      <c r="F17" s="5">
        <v>33</v>
      </c>
      <c r="G17" s="5">
        <v>39</v>
      </c>
      <c r="H17" s="5">
        <f t="shared" si="0"/>
        <v>7</v>
      </c>
      <c r="I17" s="5">
        <v>3</v>
      </c>
      <c r="J17" s="5">
        <f t="shared" si="1"/>
        <v>99</v>
      </c>
    </row>
    <row r="18" spans="1:10" x14ac:dyDescent="0.25">
      <c r="A18" s="104">
        <v>44603</v>
      </c>
      <c r="B18" s="5" t="s">
        <v>25</v>
      </c>
      <c r="C18" s="5">
        <v>23</v>
      </c>
      <c r="D18" s="5" t="s">
        <v>191</v>
      </c>
      <c r="E18" s="5">
        <v>30</v>
      </c>
      <c r="F18" s="5">
        <v>44</v>
      </c>
      <c r="G18" s="5">
        <v>55</v>
      </c>
      <c r="H18" s="5">
        <f t="shared" si="0"/>
        <v>14</v>
      </c>
      <c r="I18" s="5"/>
      <c r="J18" s="5">
        <f t="shared" si="1"/>
        <v>0</v>
      </c>
    </row>
    <row r="19" spans="1:10" x14ac:dyDescent="0.25">
      <c r="A19" s="104">
        <v>44603</v>
      </c>
      <c r="B19" s="5" t="s">
        <v>25</v>
      </c>
      <c r="C19" s="5">
        <v>23</v>
      </c>
      <c r="D19" s="5" t="s">
        <v>193</v>
      </c>
      <c r="E19" s="5">
        <v>34</v>
      </c>
      <c r="F19" s="5">
        <v>45</v>
      </c>
      <c r="G19" s="5">
        <v>55</v>
      </c>
      <c r="H19" s="5">
        <f t="shared" si="0"/>
        <v>11</v>
      </c>
      <c r="I19" s="5"/>
      <c r="J19" s="5">
        <f t="shared" si="1"/>
        <v>0</v>
      </c>
    </row>
    <row r="20" spans="1:10" x14ac:dyDescent="0.25">
      <c r="A20" s="104">
        <v>44603</v>
      </c>
      <c r="B20" s="5" t="s">
        <v>25</v>
      </c>
      <c r="C20" s="5">
        <v>23</v>
      </c>
      <c r="D20" s="5" t="s">
        <v>195</v>
      </c>
      <c r="E20" s="5">
        <v>26</v>
      </c>
      <c r="F20" s="5">
        <v>33</v>
      </c>
      <c r="G20" s="5">
        <v>39</v>
      </c>
      <c r="H20" s="5">
        <f t="shared" si="0"/>
        <v>7</v>
      </c>
      <c r="I20" s="5"/>
      <c r="J20" s="5">
        <f t="shared" si="1"/>
        <v>0</v>
      </c>
    </row>
    <row r="21" spans="1:10" x14ac:dyDescent="0.25">
      <c r="A21" s="104">
        <v>44603</v>
      </c>
      <c r="B21" s="5" t="s">
        <v>25</v>
      </c>
      <c r="C21" s="5">
        <v>23</v>
      </c>
      <c r="D21" s="5" t="s">
        <v>197</v>
      </c>
      <c r="E21" s="5">
        <v>26</v>
      </c>
      <c r="F21" s="5">
        <v>33</v>
      </c>
      <c r="G21" s="5">
        <v>39</v>
      </c>
      <c r="H21" s="5">
        <f t="shared" si="0"/>
        <v>7</v>
      </c>
      <c r="I21" s="5"/>
      <c r="J21" s="5">
        <f t="shared" si="1"/>
        <v>0</v>
      </c>
    </row>
    <row r="22" spans="1:10" x14ac:dyDescent="0.25">
      <c r="A22" s="104">
        <v>44603</v>
      </c>
      <c r="B22" s="5" t="s">
        <v>23</v>
      </c>
      <c r="C22" s="5">
        <v>49</v>
      </c>
      <c r="D22" s="5" t="s">
        <v>191</v>
      </c>
      <c r="E22" s="5">
        <v>30</v>
      </c>
      <c r="F22" s="5">
        <v>44</v>
      </c>
      <c r="G22" s="5">
        <v>55</v>
      </c>
      <c r="H22" s="5">
        <f t="shared" si="0"/>
        <v>14</v>
      </c>
      <c r="I22" s="5"/>
      <c r="J22" s="5">
        <f t="shared" si="1"/>
        <v>0</v>
      </c>
    </row>
    <row r="23" spans="1:10" x14ac:dyDescent="0.25">
      <c r="A23" s="104">
        <v>44603</v>
      </c>
      <c r="B23" s="5" t="s">
        <v>23</v>
      </c>
      <c r="C23" s="5">
        <v>49</v>
      </c>
      <c r="D23" s="5" t="s">
        <v>193</v>
      </c>
      <c r="E23" s="5">
        <v>34</v>
      </c>
      <c r="F23" s="5">
        <v>45</v>
      </c>
      <c r="G23" s="5">
        <v>55</v>
      </c>
      <c r="H23" s="5">
        <f t="shared" si="0"/>
        <v>11</v>
      </c>
      <c r="I23" s="5"/>
      <c r="J23" s="5">
        <f t="shared" si="1"/>
        <v>0</v>
      </c>
    </row>
    <row r="24" spans="1:10" x14ac:dyDescent="0.25">
      <c r="A24" s="104">
        <v>44603</v>
      </c>
      <c r="B24" s="5" t="s">
        <v>23</v>
      </c>
      <c r="C24" s="5">
        <v>49</v>
      </c>
      <c r="D24" s="5" t="s">
        <v>195</v>
      </c>
      <c r="E24" s="5">
        <v>26</v>
      </c>
      <c r="F24" s="5">
        <v>33</v>
      </c>
      <c r="G24" s="5">
        <v>39</v>
      </c>
      <c r="H24" s="5">
        <f t="shared" si="0"/>
        <v>7</v>
      </c>
      <c r="I24" s="5"/>
      <c r="J24" s="5">
        <f t="shared" si="1"/>
        <v>0</v>
      </c>
    </row>
    <row r="25" spans="1:10" x14ac:dyDescent="0.25">
      <c r="A25" s="104">
        <v>44603</v>
      </c>
      <c r="B25" s="5" t="s">
        <v>23</v>
      </c>
      <c r="C25" s="5">
        <v>49</v>
      </c>
      <c r="D25" s="5" t="s">
        <v>197</v>
      </c>
      <c r="E25" s="5">
        <v>26</v>
      </c>
      <c r="F25" s="5">
        <v>33</v>
      </c>
      <c r="G25" s="5">
        <v>39</v>
      </c>
      <c r="H25" s="5">
        <f t="shared" si="0"/>
        <v>7</v>
      </c>
      <c r="I25" s="5"/>
      <c r="J25" s="5">
        <f t="shared" si="1"/>
        <v>0</v>
      </c>
    </row>
    <row r="26" spans="1:10" x14ac:dyDescent="0.25">
      <c r="A26" s="104">
        <v>44603</v>
      </c>
      <c r="B26" s="5" t="s">
        <v>31</v>
      </c>
      <c r="C26" s="5">
        <v>33</v>
      </c>
      <c r="D26" s="5" t="s">
        <v>191</v>
      </c>
      <c r="E26" s="5">
        <v>30</v>
      </c>
      <c r="F26" s="5">
        <v>44</v>
      </c>
      <c r="G26" s="5">
        <v>55</v>
      </c>
      <c r="H26" s="5">
        <f t="shared" si="0"/>
        <v>14</v>
      </c>
      <c r="I26" s="5"/>
      <c r="J26" s="5">
        <f t="shared" si="1"/>
        <v>0</v>
      </c>
    </row>
    <row r="27" spans="1:10" x14ac:dyDescent="0.25">
      <c r="A27" s="104">
        <v>44603</v>
      </c>
      <c r="B27" s="5" t="s">
        <v>31</v>
      </c>
      <c r="C27" s="5">
        <v>33</v>
      </c>
      <c r="D27" s="5" t="s">
        <v>193</v>
      </c>
      <c r="E27" s="5">
        <v>34</v>
      </c>
      <c r="F27" s="5">
        <v>45</v>
      </c>
      <c r="G27" s="5">
        <v>55</v>
      </c>
      <c r="H27" s="5">
        <f t="shared" si="0"/>
        <v>11</v>
      </c>
      <c r="I27" s="5"/>
      <c r="J27" s="5">
        <f t="shared" si="1"/>
        <v>0</v>
      </c>
    </row>
    <row r="28" spans="1:10" x14ac:dyDescent="0.25">
      <c r="A28" s="104">
        <v>44603</v>
      </c>
      <c r="B28" s="5" t="s">
        <v>31</v>
      </c>
      <c r="C28" s="5">
        <v>33</v>
      </c>
      <c r="D28" s="5" t="s">
        <v>195</v>
      </c>
      <c r="E28" s="5">
        <v>26</v>
      </c>
      <c r="F28" s="5">
        <v>33</v>
      </c>
      <c r="G28" s="5">
        <v>39</v>
      </c>
      <c r="H28" s="5">
        <f t="shared" si="0"/>
        <v>7</v>
      </c>
      <c r="I28" s="5"/>
      <c r="J28" s="5">
        <f t="shared" si="1"/>
        <v>0</v>
      </c>
    </row>
    <row r="29" spans="1:10" x14ac:dyDescent="0.25">
      <c r="A29" s="104">
        <v>44603</v>
      </c>
      <c r="B29" s="5" t="s">
        <v>31</v>
      </c>
      <c r="C29" s="5">
        <v>33</v>
      </c>
      <c r="D29" s="5" t="s">
        <v>197</v>
      </c>
      <c r="E29" s="5">
        <v>26</v>
      </c>
      <c r="F29" s="5">
        <v>33</v>
      </c>
      <c r="G29" s="5">
        <v>39</v>
      </c>
      <c r="H29" s="5">
        <f t="shared" si="0"/>
        <v>7</v>
      </c>
      <c r="I29" s="5"/>
      <c r="J29" s="5">
        <f t="shared" si="1"/>
        <v>0</v>
      </c>
    </row>
    <row r="30" spans="1:10" x14ac:dyDescent="0.25">
      <c r="A30" s="104">
        <v>44603</v>
      </c>
      <c r="B30" s="5" t="s">
        <v>20</v>
      </c>
      <c r="C30" s="5">
        <v>88</v>
      </c>
      <c r="D30" s="5" t="s">
        <v>191</v>
      </c>
      <c r="E30" s="5">
        <v>30</v>
      </c>
      <c r="F30" s="5">
        <v>44</v>
      </c>
      <c r="G30" s="5">
        <v>55</v>
      </c>
      <c r="H30" s="5">
        <f t="shared" si="0"/>
        <v>14</v>
      </c>
      <c r="I30" s="5"/>
      <c r="J30" s="5">
        <f t="shared" si="1"/>
        <v>0</v>
      </c>
    </row>
    <row r="31" spans="1:10" x14ac:dyDescent="0.25">
      <c r="A31" s="104">
        <v>44603</v>
      </c>
      <c r="B31" s="5" t="s">
        <v>20</v>
      </c>
      <c r="C31" s="5">
        <v>88</v>
      </c>
      <c r="D31" s="5" t="s">
        <v>193</v>
      </c>
      <c r="E31" s="5">
        <v>34</v>
      </c>
      <c r="F31" s="5">
        <v>45</v>
      </c>
      <c r="G31" s="5">
        <v>55</v>
      </c>
      <c r="H31" s="5">
        <f t="shared" si="0"/>
        <v>11</v>
      </c>
      <c r="I31" s="5"/>
      <c r="J31" s="5">
        <f t="shared" si="1"/>
        <v>0</v>
      </c>
    </row>
    <row r="32" spans="1:10" x14ac:dyDescent="0.25">
      <c r="A32" s="104">
        <v>44603</v>
      </c>
      <c r="B32" s="5" t="s">
        <v>20</v>
      </c>
      <c r="C32" s="5">
        <v>88</v>
      </c>
      <c r="D32" s="5" t="s">
        <v>195</v>
      </c>
      <c r="E32" s="5">
        <v>26</v>
      </c>
      <c r="F32" s="5">
        <v>33</v>
      </c>
      <c r="G32" s="5">
        <v>39</v>
      </c>
      <c r="H32" s="5">
        <f t="shared" si="0"/>
        <v>7</v>
      </c>
      <c r="I32" s="5"/>
      <c r="J32" s="5">
        <f t="shared" si="1"/>
        <v>0</v>
      </c>
    </row>
    <row r="33" spans="1:10" x14ac:dyDescent="0.25">
      <c r="A33" s="104">
        <v>44603</v>
      </c>
      <c r="B33" s="5" t="s">
        <v>20</v>
      </c>
      <c r="C33" s="5">
        <v>88</v>
      </c>
      <c r="D33" s="5" t="s">
        <v>197</v>
      </c>
      <c r="E33" s="5">
        <v>26</v>
      </c>
      <c r="F33" s="5">
        <v>33</v>
      </c>
      <c r="G33" s="5">
        <v>39</v>
      </c>
      <c r="H33" s="5">
        <f t="shared" si="0"/>
        <v>7</v>
      </c>
      <c r="I33" s="5"/>
      <c r="J33" s="5">
        <f t="shared" si="1"/>
        <v>0</v>
      </c>
    </row>
    <row r="34" spans="1:10" x14ac:dyDescent="0.25">
      <c r="A34" s="104">
        <v>44603</v>
      </c>
      <c r="B34" s="5" t="s">
        <v>24</v>
      </c>
      <c r="C34" s="5">
        <v>21</v>
      </c>
      <c r="D34" s="5" t="s">
        <v>191</v>
      </c>
      <c r="E34" s="5">
        <v>30</v>
      </c>
      <c r="F34" s="5">
        <v>44</v>
      </c>
      <c r="G34" s="5">
        <v>55</v>
      </c>
      <c r="H34" s="5">
        <f t="shared" si="0"/>
        <v>14</v>
      </c>
      <c r="I34" s="5"/>
      <c r="J34" s="5">
        <f t="shared" si="1"/>
        <v>0</v>
      </c>
    </row>
    <row r="35" spans="1:10" x14ac:dyDescent="0.25">
      <c r="A35" s="104">
        <v>44603</v>
      </c>
      <c r="B35" s="5" t="s">
        <v>24</v>
      </c>
      <c r="C35" s="5">
        <v>21</v>
      </c>
      <c r="D35" s="5" t="s">
        <v>193</v>
      </c>
      <c r="E35" s="5">
        <v>34</v>
      </c>
      <c r="F35" s="5">
        <v>45</v>
      </c>
      <c r="G35" s="5">
        <v>55</v>
      </c>
      <c r="H35" s="5">
        <f t="shared" si="0"/>
        <v>11</v>
      </c>
      <c r="I35" s="5"/>
      <c r="J35" s="5">
        <f t="shared" si="1"/>
        <v>0</v>
      </c>
    </row>
    <row r="36" spans="1:10" x14ac:dyDescent="0.25">
      <c r="A36" s="104">
        <v>44603</v>
      </c>
      <c r="B36" s="5" t="s">
        <v>24</v>
      </c>
      <c r="C36" s="5">
        <v>21</v>
      </c>
      <c r="D36" s="5" t="s">
        <v>195</v>
      </c>
      <c r="E36" s="5">
        <v>26</v>
      </c>
      <c r="F36" s="5">
        <v>33</v>
      </c>
      <c r="G36" s="5">
        <v>39</v>
      </c>
      <c r="H36" s="5">
        <f t="shared" si="0"/>
        <v>7</v>
      </c>
      <c r="I36" s="5"/>
      <c r="J36" s="5">
        <f t="shared" si="1"/>
        <v>0</v>
      </c>
    </row>
    <row r="37" spans="1:10" x14ac:dyDescent="0.25">
      <c r="A37" s="104">
        <v>44603</v>
      </c>
      <c r="B37" s="5" t="s">
        <v>24</v>
      </c>
      <c r="C37" s="5">
        <v>21</v>
      </c>
      <c r="D37" s="5" t="s">
        <v>197</v>
      </c>
      <c r="E37" s="5">
        <v>26</v>
      </c>
      <c r="F37" s="5">
        <v>33</v>
      </c>
      <c r="G37" s="5">
        <v>39</v>
      </c>
      <c r="H37" s="5">
        <f t="shared" si="0"/>
        <v>7</v>
      </c>
      <c r="I37" s="5"/>
      <c r="J37" s="5">
        <f t="shared" si="1"/>
        <v>0</v>
      </c>
    </row>
    <row r="38" spans="1:10" x14ac:dyDescent="0.25">
      <c r="A38" s="104">
        <v>44603</v>
      </c>
      <c r="B38" s="5" t="s">
        <v>26</v>
      </c>
      <c r="C38" s="5">
        <v>18</v>
      </c>
      <c r="D38" s="5" t="s">
        <v>191</v>
      </c>
      <c r="E38" s="5">
        <v>30</v>
      </c>
      <c r="F38" s="5">
        <v>44</v>
      </c>
      <c r="G38" s="5">
        <v>55</v>
      </c>
      <c r="H38" s="5">
        <f t="shared" si="0"/>
        <v>14</v>
      </c>
      <c r="I38" s="5"/>
      <c r="J38" s="5">
        <f t="shared" si="1"/>
        <v>0</v>
      </c>
    </row>
    <row r="39" spans="1:10" x14ac:dyDescent="0.25">
      <c r="A39" s="104">
        <v>44603</v>
      </c>
      <c r="B39" s="5" t="s">
        <v>26</v>
      </c>
      <c r="C39" s="5">
        <v>18</v>
      </c>
      <c r="D39" s="5" t="s">
        <v>193</v>
      </c>
      <c r="E39" s="5">
        <v>34</v>
      </c>
      <c r="F39" s="5">
        <v>45</v>
      </c>
      <c r="G39" s="5">
        <v>55</v>
      </c>
      <c r="H39" s="5">
        <f t="shared" si="0"/>
        <v>11</v>
      </c>
      <c r="I39" s="5"/>
      <c r="J39" s="5">
        <f t="shared" si="1"/>
        <v>0</v>
      </c>
    </row>
    <row r="40" spans="1:10" x14ac:dyDescent="0.25">
      <c r="A40" s="104">
        <v>44603</v>
      </c>
      <c r="B40" s="5" t="s">
        <v>26</v>
      </c>
      <c r="C40" s="5">
        <v>18</v>
      </c>
      <c r="D40" s="5" t="s">
        <v>195</v>
      </c>
      <c r="E40" s="5">
        <v>26</v>
      </c>
      <c r="F40" s="5">
        <v>33</v>
      </c>
      <c r="G40" s="5">
        <v>39</v>
      </c>
      <c r="H40" s="5">
        <f t="shared" si="0"/>
        <v>7</v>
      </c>
      <c r="I40" s="5"/>
      <c r="J40" s="5">
        <f t="shared" si="1"/>
        <v>0</v>
      </c>
    </row>
    <row r="41" spans="1:10" x14ac:dyDescent="0.25">
      <c r="A41" s="104">
        <v>44603</v>
      </c>
      <c r="B41" s="5" t="s">
        <v>26</v>
      </c>
      <c r="C41" s="5">
        <v>18</v>
      </c>
      <c r="D41" s="5" t="s">
        <v>197</v>
      </c>
      <c r="E41" s="5">
        <v>26</v>
      </c>
      <c r="F41" s="5">
        <v>33</v>
      </c>
      <c r="G41" s="5">
        <v>39</v>
      </c>
      <c r="H41" s="5">
        <f t="shared" si="0"/>
        <v>7</v>
      </c>
      <c r="I41" s="5"/>
      <c r="J41" s="5">
        <f t="shared" si="1"/>
        <v>0</v>
      </c>
    </row>
    <row r="42" spans="1:10" x14ac:dyDescent="0.25">
      <c r="A42" s="104">
        <v>44603</v>
      </c>
      <c r="B42" s="5" t="s">
        <v>22</v>
      </c>
      <c r="C42" s="108">
        <v>40</v>
      </c>
      <c r="D42" s="5" t="s">
        <v>200</v>
      </c>
      <c r="E42" s="5">
        <v>120</v>
      </c>
      <c r="F42" s="5">
        <v>160</v>
      </c>
      <c r="G42" s="5">
        <v>200</v>
      </c>
      <c r="H42" s="5">
        <f t="shared" si="0"/>
        <v>40</v>
      </c>
      <c r="I42" s="5"/>
      <c r="J42" s="5">
        <f t="shared" si="1"/>
        <v>0</v>
      </c>
    </row>
    <row r="43" spans="1:10" x14ac:dyDescent="0.25">
      <c r="A43" s="104">
        <v>44603</v>
      </c>
      <c r="B43" s="5" t="s">
        <v>22</v>
      </c>
      <c r="C43" s="108">
        <v>40</v>
      </c>
      <c r="D43" s="5" t="s">
        <v>202</v>
      </c>
      <c r="E43" s="5">
        <v>120</v>
      </c>
      <c r="F43" s="5">
        <v>176</v>
      </c>
      <c r="G43" s="5">
        <v>199</v>
      </c>
      <c r="H43" s="5">
        <f t="shared" si="0"/>
        <v>56</v>
      </c>
      <c r="I43" s="5"/>
      <c r="J43" s="5">
        <f t="shared" si="1"/>
        <v>0</v>
      </c>
    </row>
    <row r="44" spans="1:10" x14ac:dyDescent="0.25">
      <c r="A44" s="104">
        <v>44603</v>
      </c>
      <c r="B44" s="5" t="s">
        <v>22</v>
      </c>
      <c r="C44" s="108">
        <v>40</v>
      </c>
      <c r="D44" s="5" t="s">
        <v>204</v>
      </c>
      <c r="E44" s="5">
        <v>52</v>
      </c>
      <c r="F44" s="5">
        <v>63</v>
      </c>
      <c r="G44" s="5">
        <v>75</v>
      </c>
      <c r="H44" s="5">
        <f t="shared" si="0"/>
        <v>11</v>
      </c>
      <c r="I44" s="5">
        <v>2</v>
      </c>
      <c r="J44" s="5">
        <f t="shared" si="1"/>
        <v>126</v>
      </c>
    </row>
    <row r="45" spans="1:10" x14ac:dyDescent="0.25">
      <c r="A45" s="104">
        <v>44603</v>
      </c>
      <c r="B45" s="5" t="s">
        <v>22</v>
      </c>
      <c r="C45" s="108">
        <v>40</v>
      </c>
      <c r="D45" s="5" t="s">
        <v>206</v>
      </c>
      <c r="E45" s="5">
        <v>52</v>
      </c>
      <c r="F45" s="5">
        <v>63</v>
      </c>
      <c r="G45" s="5">
        <v>75</v>
      </c>
      <c r="H45" s="5">
        <f t="shared" si="0"/>
        <v>11</v>
      </c>
      <c r="I45" s="5">
        <v>2</v>
      </c>
      <c r="J45" s="5">
        <f t="shared" si="1"/>
        <v>126</v>
      </c>
    </row>
    <row r="46" spans="1:10" x14ac:dyDescent="0.25">
      <c r="A46" s="104">
        <v>44603</v>
      </c>
      <c r="B46" s="5" t="s">
        <v>19</v>
      </c>
      <c r="C46" s="108">
        <v>77</v>
      </c>
      <c r="D46" s="5" t="s">
        <v>199</v>
      </c>
      <c r="E46" s="5">
        <v>120</v>
      </c>
      <c r="F46" s="5">
        <v>160</v>
      </c>
      <c r="G46" s="5">
        <v>200</v>
      </c>
      <c r="H46" s="5">
        <f t="shared" si="0"/>
        <v>40</v>
      </c>
      <c r="I46" s="5">
        <v>2</v>
      </c>
      <c r="J46" s="5">
        <f t="shared" si="1"/>
        <v>320</v>
      </c>
    </row>
    <row r="47" spans="1:10" x14ac:dyDescent="0.25">
      <c r="A47" s="104">
        <v>44603</v>
      </c>
      <c r="B47" s="5" t="s">
        <v>19</v>
      </c>
      <c r="C47" s="108">
        <v>77</v>
      </c>
      <c r="D47" s="5" t="s">
        <v>201</v>
      </c>
      <c r="E47" s="5">
        <v>120</v>
      </c>
      <c r="F47" s="5">
        <v>176</v>
      </c>
      <c r="G47" s="5">
        <v>199</v>
      </c>
      <c r="H47" s="5">
        <f t="shared" si="0"/>
        <v>56</v>
      </c>
      <c r="I47" s="5">
        <v>2</v>
      </c>
      <c r="J47" s="5">
        <f t="shared" si="1"/>
        <v>352</v>
      </c>
    </row>
    <row r="48" spans="1:10" x14ac:dyDescent="0.25">
      <c r="A48" s="104">
        <v>44603</v>
      </c>
      <c r="B48" s="5" t="s">
        <v>19</v>
      </c>
      <c r="C48" s="108">
        <v>77</v>
      </c>
      <c r="D48" s="5" t="s">
        <v>203</v>
      </c>
      <c r="E48" s="5">
        <v>52</v>
      </c>
      <c r="F48" s="5">
        <v>63</v>
      </c>
      <c r="G48" s="5">
        <v>75</v>
      </c>
      <c r="H48" s="5">
        <f t="shared" si="0"/>
        <v>11</v>
      </c>
      <c r="I48" s="5"/>
      <c r="J48" s="5">
        <f t="shared" si="1"/>
        <v>0</v>
      </c>
    </row>
    <row r="49" spans="1:10" x14ac:dyDescent="0.25">
      <c r="A49" s="104">
        <v>44603</v>
      </c>
      <c r="B49" s="5" t="s">
        <v>19</v>
      </c>
      <c r="C49" s="108">
        <v>77</v>
      </c>
      <c r="D49" s="5" t="s">
        <v>205</v>
      </c>
      <c r="E49" s="5">
        <v>52</v>
      </c>
      <c r="F49" s="5">
        <v>63</v>
      </c>
      <c r="G49" s="5">
        <v>75</v>
      </c>
      <c r="H49" s="5">
        <f t="shared" si="0"/>
        <v>11</v>
      </c>
      <c r="I49" s="5"/>
      <c r="J49" s="5">
        <f t="shared" si="1"/>
        <v>0</v>
      </c>
    </row>
    <row r="50" spans="1:10" x14ac:dyDescent="0.25">
      <c r="A50" s="104">
        <v>44603</v>
      </c>
      <c r="B50" s="5" t="s">
        <v>21</v>
      </c>
      <c r="C50" s="108">
        <v>53</v>
      </c>
      <c r="D50" s="5" t="s">
        <v>199</v>
      </c>
      <c r="E50" s="5">
        <v>120</v>
      </c>
      <c r="F50" s="5">
        <v>160</v>
      </c>
      <c r="G50" s="5">
        <v>200</v>
      </c>
      <c r="H50" s="5">
        <f t="shared" si="0"/>
        <v>40</v>
      </c>
      <c r="I50" s="5"/>
      <c r="J50" s="5">
        <f t="shared" si="1"/>
        <v>0</v>
      </c>
    </row>
    <row r="51" spans="1:10" x14ac:dyDescent="0.25">
      <c r="A51" s="104">
        <v>44603</v>
      </c>
      <c r="B51" s="5" t="s">
        <v>21</v>
      </c>
      <c r="C51" s="108">
        <v>53</v>
      </c>
      <c r="D51" s="5" t="s">
        <v>201</v>
      </c>
      <c r="E51" s="5">
        <v>120</v>
      </c>
      <c r="F51" s="5">
        <v>176</v>
      </c>
      <c r="G51" s="5">
        <v>199</v>
      </c>
      <c r="H51" s="5">
        <f t="shared" si="0"/>
        <v>56</v>
      </c>
      <c r="I51" s="5"/>
      <c r="J51" s="5">
        <f t="shared" si="1"/>
        <v>0</v>
      </c>
    </row>
    <row r="52" spans="1:10" x14ac:dyDescent="0.25">
      <c r="A52" s="104">
        <v>44603</v>
      </c>
      <c r="B52" s="5" t="s">
        <v>21</v>
      </c>
      <c r="C52" s="108">
        <v>53</v>
      </c>
      <c r="D52" s="5" t="s">
        <v>203</v>
      </c>
      <c r="E52" s="5">
        <v>52</v>
      </c>
      <c r="F52" s="5">
        <v>63</v>
      </c>
      <c r="G52" s="5">
        <v>75</v>
      </c>
      <c r="H52" s="5">
        <f t="shared" si="0"/>
        <v>11</v>
      </c>
      <c r="I52" s="5"/>
      <c r="J52" s="5">
        <f t="shared" si="1"/>
        <v>0</v>
      </c>
    </row>
    <row r="53" spans="1:10" x14ac:dyDescent="0.25">
      <c r="A53" s="104">
        <v>44603</v>
      </c>
      <c r="B53" s="5" t="s">
        <v>21</v>
      </c>
      <c r="C53" s="108">
        <v>53</v>
      </c>
      <c r="D53" s="5" t="s">
        <v>205</v>
      </c>
      <c r="E53" s="5">
        <v>52</v>
      </c>
      <c r="F53" s="5">
        <v>63</v>
      </c>
      <c r="G53" s="5">
        <v>75</v>
      </c>
      <c r="H53" s="5">
        <f t="shared" si="0"/>
        <v>11</v>
      </c>
      <c r="I53" s="5"/>
      <c r="J53" s="5">
        <f t="shared" si="1"/>
        <v>0</v>
      </c>
    </row>
    <row r="54" spans="1:10" x14ac:dyDescent="0.25">
      <c r="A54" s="104">
        <v>44603</v>
      </c>
      <c r="B54" s="108" t="s">
        <v>20</v>
      </c>
      <c r="C54" s="108">
        <v>95</v>
      </c>
      <c r="D54" s="5" t="s">
        <v>199</v>
      </c>
      <c r="E54" s="5">
        <v>120</v>
      </c>
      <c r="F54" s="5">
        <v>160</v>
      </c>
      <c r="G54" s="5">
        <v>200</v>
      </c>
      <c r="H54" s="5">
        <f t="shared" si="0"/>
        <v>40</v>
      </c>
      <c r="I54" s="5"/>
      <c r="J54" s="5">
        <f t="shared" si="1"/>
        <v>0</v>
      </c>
    </row>
    <row r="55" spans="1:10" x14ac:dyDescent="0.25">
      <c r="A55" s="104">
        <v>44603</v>
      </c>
      <c r="B55" s="108" t="s">
        <v>20</v>
      </c>
      <c r="C55" s="108">
        <v>95</v>
      </c>
      <c r="D55" s="5" t="s">
        <v>201</v>
      </c>
      <c r="E55" s="5">
        <v>120</v>
      </c>
      <c r="F55" s="5">
        <v>176</v>
      </c>
      <c r="G55" s="5">
        <v>199</v>
      </c>
      <c r="H55" s="5">
        <f t="shared" si="0"/>
        <v>56</v>
      </c>
      <c r="I55" s="5">
        <v>1</v>
      </c>
      <c r="J55" s="5">
        <f t="shared" si="1"/>
        <v>176</v>
      </c>
    </row>
    <row r="56" spans="1:10" x14ac:dyDescent="0.25">
      <c r="A56" s="104">
        <v>44603</v>
      </c>
      <c r="B56" s="108" t="s">
        <v>20</v>
      </c>
      <c r="C56" s="108">
        <v>95</v>
      </c>
      <c r="D56" s="5" t="s">
        <v>203</v>
      </c>
      <c r="E56" s="5">
        <v>52</v>
      </c>
      <c r="F56" s="5">
        <v>63</v>
      </c>
      <c r="G56" s="5">
        <v>75</v>
      </c>
      <c r="H56" s="5">
        <f t="shared" si="0"/>
        <v>11</v>
      </c>
      <c r="I56" s="5">
        <v>1</v>
      </c>
      <c r="J56" s="5">
        <f t="shared" si="1"/>
        <v>63</v>
      </c>
    </row>
    <row r="57" spans="1:10" x14ac:dyDescent="0.25">
      <c r="A57" s="104">
        <v>44603</v>
      </c>
      <c r="B57" s="108" t="s">
        <v>20</v>
      </c>
      <c r="C57" s="108">
        <v>95</v>
      </c>
      <c r="D57" s="5" t="s">
        <v>205</v>
      </c>
      <c r="E57" s="5">
        <v>52</v>
      </c>
      <c r="F57" s="5">
        <v>63</v>
      </c>
      <c r="G57" s="5">
        <v>75</v>
      </c>
      <c r="H57" s="5">
        <f t="shared" si="0"/>
        <v>11</v>
      </c>
      <c r="I57" s="5">
        <v>1</v>
      </c>
      <c r="J57" s="5">
        <f t="shared" si="1"/>
        <v>63</v>
      </c>
    </row>
    <row r="58" spans="1:10" x14ac:dyDescent="0.25">
      <c r="A58" s="104">
        <v>44603</v>
      </c>
      <c r="B58" s="108" t="s">
        <v>23</v>
      </c>
      <c r="C58" s="108">
        <v>50</v>
      </c>
      <c r="D58" s="5" t="s">
        <v>199</v>
      </c>
      <c r="E58" s="5">
        <v>120</v>
      </c>
      <c r="F58" s="5">
        <v>160</v>
      </c>
      <c r="G58" s="5">
        <v>200</v>
      </c>
      <c r="H58" s="5">
        <f t="shared" si="0"/>
        <v>40</v>
      </c>
      <c r="I58" s="5"/>
      <c r="J58" s="5">
        <f t="shared" si="1"/>
        <v>0</v>
      </c>
    </row>
    <row r="59" spans="1:10" x14ac:dyDescent="0.25">
      <c r="A59" s="104">
        <v>44603</v>
      </c>
      <c r="B59" s="108" t="s">
        <v>23</v>
      </c>
      <c r="C59" s="108">
        <v>50</v>
      </c>
      <c r="D59" s="5" t="s">
        <v>201</v>
      </c>
      <c r="E59" s="5">
        <v>120</v>
      </c>
      <c r="F59" s="5">
        <v>176</v>
      </c>
      <c r="G59" s="5">
        <v>199</v>
      </c>
      <c r="H59" s="5">
        <f t="shared" si="0"/>
        <v>56</v>
      </c>
      <c r="I59" s="5"/>
      <c r="J59" s="5">
        <f t="shared" si="1"/>
        <v>0</v>
      </c>
    </row>
    <row r="60" spans="1:10" x14ac:dyDescent="0.25">
      <c r="A60" s="104">
        <v>44603</v>
      </c>
      <c r="B60" s="108" t="s">
        <v>23</v>
      </c>
      <c r="C60" s="108">
        <v>50</v>
      </c>
      <c r="D60" s="5" t="s">
        <v>203</v>
      </c>
      <c r="E60" s="5">
        <v>52</v>
      </c>
      <c r="F60" s="5">
        <v>63</v>
      </c>
      <c r="G60" s="5">
        <v>75</v>
      </c>
      <c r="H60" s="5">
        <f t="shared" si="0"/>
        <v>11</v>
      </c>
      <c r="I60" s="5"/>
      <c r="J60" s="5">
        <f t="shared" si="1"/>
        <v>0</v>
      </c>
    </row>
    <row r="61" spans="1:10" x14ac:dyDescent="0.25">
      <c r="A61" s="104">
        <v>44603</v>
      </c>
      <c r="B61" s="108" t="s">
        <v>23</v>
      </c>
      <c r="C61" s="108">
        <v>50</v>
      </c>
      <c r="D61" s="5" t="s">
        <v>205</v>
      </c>
      <c r="E61" s="5">
        <v>52</v>
      </c>
      <c r="F61" s="5">
        <v>63</v>
      </c>
      <c r="G61" s="5">
        <v>75</v>
      </c>
      <c r="H61" s="5">
        <f t="shared" si="0"/>
        <v>11</v>
      </c>
      <c r="I61" s="5"/>
      <c r="J61" s="5">
        <f t="shared" si="1"/>
        <v>0</v>
      </c>
    </row>
    <row r="62" spans="1:10" x14ac:dyDescent="0.25">
      <c r="A62" s="104">
        <v>44603</v>
      </c>
      <c r="B62" s="108" t="s">
        <v>31</v>
      </c>
      <c r="C62" s="108">
        <v>33</v>
      </c>
      <c r="D62" s="5" t="s">
        <v>199</v>
      </c>
      <c r="E62" s="5">
        <v>120</v>
      </c>
      <c r="F62" s="5">
        <v>160</v>
      </c>
      <c r="G62" s="5">
        <v>200</v>
      </c>
      <c r="H62" s="5">
        <f t="shared" si="0"/>
        <v>40</v>
      </c>
      <c r="I62" s="5"/>
      <c r="J62" s="5">
        <f t="shared" si="1"/>
        <v>0</v>
      </c>
    </row>
    <row r="63" spans="1:10" x14ac:dyDescent="0.25">
      <c r="A63" s="104">
        <v>44603</v>
      </c>
      <c r="B63" s="108" t="s">
        <v>31</v>
      </c>
      <c r="C63" s="108">
        <v>33</v>
      </c>
      <c r="D63" s="5" t="s">
        <v>201</v>
      </c>
      <c r="E63" s="5">
        <v>120</v>
      </c>
      <c r="F63" s="5">
        <v>176</v>
      </c>
      <c r="G63" s="5">
        <v>199</v>
      </c>
      <c r="H63" s="5">
        <f t="shared" si="0"/>
        <v>56</v>
      </c>
      <c r="I63" s="5"/>
      <c r="J63" s="5">
        <f t="shared" si="1"/>
        <v>0</v>
      </c>
    </row>
    <row r="64" spans="1:10" x14ac:dyDescent="0.25">
      <c r="A64" s="104">
        <v>44603</v>
      </c>
      <c r="B64" s="108" t="s">
        <v>31</v>
      </c>
      <c r="C64" s="108">
        <v>33</v>
      </c>
      <c r="D64" s="5" t="s">
        <v>203</v>
      </c>
      <c r="E64" s="5">
        <v>52</v>
      </c>
      <c r="F64" s="5">
        <v>63</v>
      </c>
      <c r="G64" s="5">
        <v>75</v>
      </c>
      <c r="H64" s="5">
        <f t="shared" si="0"/>
        <v>11</v>
      </c>
      <c r="I64" s="5"/>
      <c r="J64" s="5">
        <f t="shared" si="1"/>
        <v>0</v>
      </c>
    </row>
    <row r="65" spans="1:10" x14ac:dyDescent="0.25">
      <c r="A65" s="104">
        <v>44603</v>
      </c>
      <c r="B65" s="108" t="s">
        <v>31</v>
      </c>
      <c r="C65" s="108">
        <v>33</v>
      </c>
      <c r="D65" s="5" t="s">
        <v>205</v>
      </c>
      <c r="E65" s="5">
        <v>52</v>
      </c>
      <c r="F65" s="5">
        <v>63</v>
      </c>
      <c r="G65" s="5">
        <v>75</v>
      </c>
      <c r="H65" s="5">
        <f t="shared" si="0"/>
        <v>11</v>
      </c>
      <c r="I65" s="5"/>
      <c r="J65" s="5">
        <f t="shared" si="1"/>
        <v>0</v>
      </c>
    </row>
    <row r="66" spans="1:10" x14ac:dyDescent="0.25">
      <c r="A66" s="104">
        <v>44603</v>
      </c>
      <c r="B66" s="108" t="s">
        <v>24</v>
      </c>
      <c r="C66" s="108">
        <v>21</v>
      </c>
      <c r="D66" s="5" t="s">
        <v>199</v>
      </c>
      <c r="E66" s="5">
        <v>120</v>
      </c>
      <c r="F66" s="5">
        <v>160</v>
      </c>
      <c r="G66" s="5">
        <v>200</v>
      </c>
      <c r="H66" s="5">
        <f t="shared" si="0"/>
        <v>40</v>
      </c>
      <c r="I66" s="5"/>
      <c r="J66" s="5">
        <f t="shared" si="1"/>
        <v>0</v>
      </c>
    </row>
    <row r="67" spans="1:10" x14ac:dyDescent="0.25">
      <c r="A67" s="104">
        <v>44603</v>
      </c>
      <c r="B67" s="5" t="s">
        <v>24</v>
      </c>
      <c r="C67" s="108">
        <v>21</v>
      </c>
      <c r="D67" s="5" t="s">
        <v>201</v>
      </c>
      <c r="E67" s="5">
        <v>120</v>
      </c>
      <c r="F67" s="5">
        <v>176</v>
      </c>
      <c r="G67" s="5">
        <v>199</v>
      </c>
      <c r="H67" s="5">
        <f t="shared" ref="H67:H130" si="2">F67-E67</f>
        <v>56</v>
      </c>
      <c r="I67" s="5"/>
      <c r="J67" s="5">
        <f t="shared" ref="J67:J130" si="3">F67*I67</f>
        <v>0</v>
      </c>
    </row>
    <row r="68" spans="1:10" x14ac:dyDescent="0.25">
      <c r="A68" s="104">
        <v>44603</v>
      </c>
      <c r="B68" s="5" t="s">
        <v>24</v>
      </c>
      <c r="C68" s="108">
        <v>21</v>
      </c>
      <c r="D68" s="5" t="s">
        <v>203</v>
      </c>
      <c r="E68" s="5">
        <v>52</v>
      </c>
      <c r="F68" s="5">
        <v>63</v>
      </c>
      <c r="G68" s="5">
        <v>75</v>
      </c>
      <c r="H68" s="5">
        <f t="shared" si="2"/>
        <v>11</v>
      </c>
      <c r="I68" s="5"/>
      <c r="J68" s="5">
        <f t="shared" si="3"/>
        <v>0</v>
      </c>
    </row>
    <row r="69" spans="1:10" x14ac:dyDescent="0.25">
      <c r="A69" s="104">
        <v>44603</v>
      </c>
      <c r="B69" s="5" t="s">
        <v>24</v>
      </c>
      <c r="C69" s="108">
        <v>21</v>
      </c>
      <c r="D69" s="5" t="s">
        <v>205</v>
      </c>
      <c r="E69" s="5">
        <v>52</v>
      </c>
      <c r="F69" s="5">
        <v>63</v>
      </c>
      <c r="G69" s="5">
        <v>75</v>
      </c>
      <c r="H69" s="5">
        <f t="shared" si="2"/>
        <v>11</v>
      </c>
      <c r="I69" s="5"/>
      <c r="J69" s="5">
        <f t="shared" si="3"/>
        <v>0</v>
      </c>
    </row>
    <row r="70" spans="1:10" x14ac:dyDescent="0.25">
      <c r="A70" s="104">
        <v>44603</v>
      </c>
      <c r="B70" s="5" t="s">
        <v>25</v>
      </c>
      <c r="C70" s="108">
        <v>23</v>
      </c>
      <c r="D70" s="5" t="s">
        <v>199</v>
      </c>
      <c r="E70" s="5">
        <v>120</v>
      </c>
      <c r="F70" s="5">
        <v>160</v>
      </c>
      <c r="G70" s="5">
        <v>200</v>
      </c>
      <c r="H70" s="5">
        <f t="shared" si="2"/>
        <v>40</v>
      </c>
      <c r="I70" s="5"/>
      <c r="J70" s="5">
        <f t="shared" si="3"/>
        <v>0</v>
      </c>
    </row>
    <row r="71" spans="1:10" x14ac:dyDescent="0.25">
      <c r="A71" s="104">
        <v>44603</v>
      </c>
      <c r="B71" s="5" t="s">
        <v>25</v>
      </c>
      <c r="C71" s="108">
        <v>23</v>
      </c>
      <c r="D71" s="5" t="s">
        <v>201</v>
      </c>
      <c r="E71" s="5">
        <v>120</v>
      </c>
      <c r="F71" s="5">
        <v>176</v>
      </c>
      <c r="G71" s="5">
        <v>199</v>
      </c>
      <c r="H71" s="5">
        <f t="shared" si="2"/>
        <v>56</v>
      </c>
      <c r="I71" s="5"/>
      <c r="J71" s="5">
        <f t="shared" si="3"/>
        <v>0</v>
      </c>
    </row>
    <row r="72" spans="1:10" x14ac:dyDescent="0.25">
      <c r="A72" s="104">
        <v>44603</v>
      </c>
      <c r="B72" s="5" t="s">
        <v>25</v>
      </c>
      <c r="C72" s="108">
        <v>23</v>
      </c>
      <c r="D72" s="5" t="s">
        <v>203</v>
      </c>
      <c r="E72" s="5">
        <v>52</v>
      </c>
      <c r="F72" s="5">
        <v>63</v>
      </c>
      <c r="G72" s="5">
        <v>75</v>
      </c>
      <c r="H72" s="5">
        <f t="shared" si="2"/>
        <v>11</v>
      </c>
      <c r="I72" s="5"/>
      <c r="J72" s="5">
        <f t="shared" si="3"/>
        <v>0</v>
      </c>
    </row>
    <row r="73" spans="1:10" x14ac:dyDescent="0.25">
      <c r="A73" s="104">
        <v>44603</v>
      </c>
      <c r="B73" s="5" t="s">
        <v>25</v>
      </c>
      <c r="C73" s="108">
        <v>23</v>
      </c>
      <c r="D73" s="5" t="s">
        <v>205</v>
      </c>
      <c r="E73" s="5">
        <v>52</v>
      </c>
      <c r="F73" s="5">
        <v>63</v>
      </c>
      <c r="G73" s="5">
        <v>75</v>
      </c>
      <c r="H73" s="5">
        <f t="shared" si="2"/>
        <v>11</v>
      </c>
      <c r="I73" s="5"/>
      <c r="J73" s="5">
        <f t="shared" si="3"/>
        <v>0</v>
      </c>
    </row>
    <row r="74" spans="1:10" x14ac:dyDescent="0.25">
      <c r="A74" s="104">
        <v>44603</v>
      </c>
      <c r="B74" s="5" t="s">
        <v>26</v>
      </c>
      <c r="C74" s="108">
        <v>18</v>
      </c>
      <c r="D74" s="5" t="s">
        <v>199</v>
      </c>
      <c r="E74" s="5">
        <v>120</v>
      </c>
      <c r="F74" s="5">
        <v>160</v>
      </c>
      <c r="G74" s="5">
        <v>200</v>
      </c>
      <c r="H74" s="5">
        <f t="shared" si="2"/>
        <v>40</v>
      </c>
      <c r="I74" s="5"/>
      <c r="J74" s="5">
        <f t="shared" si="3"/>
        <v>0</v>
      </c>
    </row>
    <row r="75" spans="1:10" x14ac:dyDescent="0.25">
      <c r="A75" s="104">
        <v>44603</v>
      </c>
      <c r="B75" s="5" t="s">
        <v>26</v>
      </c>
      <c r="C75" s="108">
        <v>18</v>
      </c>
      <c r="D75" s="5" t="s">
        <v>201</v>
      </c>
      <c r="E75" s="5">
        <v>120</v>
      </c>
      <c r="F75" s="5">
        <v>176</v>
      </c>
      <c r="G75" s="5">
        <v>199</v>
      </c>
      <c r="H75" s="5">
        <f t="shared" si="2"/>
        <v>56</v>
      </c>
      <c r="I75" s="5"/>
      <c r="J75" s="5">
        <f t="shared" si="3"/>
        <v>0</v>
      </c>
    </row>
    <row r="76" spans="1:10" x14ac:dyDescent="0.25">
      <c r="A76" s="104">
        <v>44603</v>
      </c>
      <c r="B76" s="5" t="s">
        <v>26</v>
      </c>
      <c r="C76" s="108">
        <v>18</v>
      </c>
      <c r="D76" s="5" t="s">
        <v>203</v>
      </c>
      <c r="E76" s="5">
        <v>52</v>
      </c>
      <c r="F76" s="5">
        <v>63</v>
      </c>
      <c r="G76" s="5">
        <v>75</v>
      </c>
      <c r="H76" s="5">
        <f t="shared" si="2"/>
        <v>11</v>
      </c>
      <c r="I76" s="5"/>
      <c r="J76" s="5">
        <f t="shared" si="3"/>
        <v>0</v>
      </c>
    </row>
    <row r="77" spans="1:10" x14ac:dyDescent="0.25">
      <c r="A77" s="104">
        <v>44603</v>
      </c>
      <c r="B77" s="5" t="s">
        <v>26</v>
      </c>
      <c r="C77" s="108">
        <v>18</v>
      </c>
      <c r="D77" s="5" t="s">
        <v>205</v>
      </c>
      <c r="E77" s="5">
        <v>52</v>
      </c>
      <c r="F77" s="5">
        <v>63</v>
      </c>
      <c r="G77" s="5">
        <v>75</v>
      </c>
      <c r="H77" s="5">
        <f t="shared" si="2"/>
        <v>11</v>
      </c>
      <c r="I77" s="5"/>
      <c r="J77" s="5">
        <f t="shared" si="3"/>
        <v>0</v>
      </c>
    </row>
    <row r="78" spans="1:10" x14ac:dyDescent="0.25">
      <c r="A78" s="104">
        <v>44603</v>
      </c>
      <c r="B78" s="108" t="s">
        <v>207</v>
      </c>
      <c r="C78" s="108">
        <v>32</v>
      </c>
      <c r="D78" s="108" t="s">
        <v>199</v>
      </c>
      <c r="E78" s="108">
        <v>120</v>
      </c>
      <c r="F78" s="108">
        <v>160</v>
      </c>
      <c r="G78" s="108">
        <v>200</v>
      </c>
      <c r="H78" s="108">
        <f t="shared" si="2"/>
        <v>40</v>
      </c>
      <c r="I78" s="108"/>
      <c r="J78" s="108">
        <f t="shared" si="3"/>
        <v>0</v>
      </c>
    </row>
    <row r="79" spans="1:10" x14ac:dyDescent="0.25">
      <c r="A79" s="104">
        <v>44603</v>
      </c>
      <c r="B79" s="108" t="s">
        <v>207</v>
      </c>
      <c r="C79" s="108">
        <v>32</v>
      </c>
      <c r="D79" s="108" t="s">
        <v>201</v>
      </c>
      <c r="E79" s="108">
        <v>120</v>
      </c>
      <c r="F79" s="108">
        <v>176</v>
      </c>
      <c r="G79" s="108">
        <v>199</v>
      </c>
      <c r="H79" s="108">
        <f t="shared" si="2"/>
        <v>56</v>
      </c>
      <c r="I79" s="108">
        <v>3</v>
      </c>
      <c r="J79" s="108">
        <f t="shared" si="3"/>
        <v>528</v>
      </c>
    </row>
    <row r="80" spans="1:10" x14ac:dyDescent="0.25">
      <c r="A80" s="104">
        <v>44603</v>
      </c>
      <c r="B80" s="108" t="s">
        <v>207</v>
      </c>
      <c r="C80" s="108">
        <v>32</v>
      </c>
      <c r="D80" s="108" t="s">
        <v>203</v>
      </c>
      <c r="E80" s="108">
        <v>52</v>
      </c>
      <c r="F80" s="108">
        <v>63</v>
      </c>
      <c r="G80" s="108">
        <v>75</v>
      </c>
      <c r="H80" s="108">
        <f t="shared" si="2"/>
        <v>11</v>
      </c>
      <c r="I80" s="108">
        <v>2</v>
      </c>
      <c r="J80" s="108">
        <f t="shared" si="3"/>
        <v>126</v>
      </c>
    </row>
    <row r="81" spans="1:10" x14ac:dyDescent="0.25">
      <c r="A81" s="104">
        <v>44603</v>
      </c>
      <c r="B81" s="108" t="s">
        <v>207</v>
      </c>
      <c r="C81" s="108">
        <v>32</v>
      </c>
      <c r="D81" s="108" t="s">
        <v>205</v>
      </c>
      <c r="E81" s="108">
        <v>52</v>
      </c>
      <c r="F81" s="108">
        <v>63</v>
      </c>
      <c r="G81" s="108">
        <v>75</v>
      </c>
      <c r="H81" s="108">
        <f t="shared" si="2"/>
        <v>11</v>
      </c>
      <c r="I81" s="108">
        <v>3</v>
      </c>
      <c r="J81" s="108">
        <f t="shared" si="3"/>
        <v>189</v>
      </c>
    </row>
    <row r="82" spans="1:10" x14ac:dyDescent="0.25">
      <c r="A82" s="104">
        <v>44603</v>
      </c>
      <c r="B82" s="5" t="s">
        <v>22</v>
      </c>
      <c r="C82" s="108">
        <v>40</v>
      </c>
      <c r="D82" s="5" t="s">
        <v>215</v>
      </c>
      <c r="E82" s="5">
        <v>85</v>
      </c>
      <c r="F82" s="5">
        <v>106</v>
      </c>
      <c r="G82" s="5">
        <v>130</v>
      </c>
      <c r="H82" s="108">
        <f t="shared" si="2"/>
        <v>21</v>
      </c>
      <c r="I82" s="5">
        <v>1</v>
      </c>
      <c r="J82" s="108">
        <f t="shared" si="3"/>
        <v>106</v>
      </c>
    </row>
    <row r="83" spans="1:10" x14ac:dyDescent="0.25">
      <c r="A83" s="104">
        <v>44603</v>
      </c>
      <c r="B83" s="5" t="s">
        <v>22</v>
      </c>
      <c r="C83" s="108">
        <v>40</v>
      </c>
      <c r="D83" s="5" t="s">
        <v>217</v>
      </c>
      <c r="E83" s="5">
        <v>85</v>
      </c>
      <c r="F83" s="5">
        <v>106</v>
      </c>
      <c r="G83" s="5">
        <v>130</v>
      </c>
      <c r="H83" s="108">
        <f t="shared" si="2"/>
        <v>21</v>
      </c>
      <c r="I83" s="5">
        <v>1</v>
      </c>
      <c r="J83" s="108">
        <f t="shared" si="3"/>
        <v>106</v>
      </c>
    </row>
    <row r="84" spans="1:10" x14ac:dyDescent="0.25">
      <c r="A84" s="104">
        <v>44603</v>
      </c>
      <c r="B84" s="5" t="s">
        <v>22</v>
      </c>
      <c r="C84" s="108">
        <v>40</v>
      </c>
      <c r="D84" s="5" t="s">
        <v>209</v>
      </c>
      <c r="E84" s="5">
        <v>40</v>
      </c>
      <c r="F84" s="5">
        <v>48</v>
      </c>
      <c r="G84" s="5">
        <v>55</v>
      </c>
      <c r="H84" s="108">
        <f t="shared" si="2"/>
        <v>8</v>
      </c>
      <c r="I84" s="5">
        <v>1</v>
      </c>
      <c r="J84" s="108">
        <f t="shared" si="3"/>
        <v>48</v>
      </c>
    </row>
    <row r="85" spans="1:10" x14ac:dyDescent="0.25">
      <c r="A85" s="104">
        <v>44603</v>
      </c>
      <c r="B85" s="5" t="s">
        <v>22</v>
      </c>
      <c r="C85" s="108">
        <v>40</v>
      </c>
      <c r="D85" s="5" t="s">
        <v>211</v>
      </c>
      <c r="E85" s="5">
        <v>40</v>
      </c>
      <c r="F85" s="5">
        <v>48</v>
      </c>
      <c r="G85" s="5">
        <v>55</v>
      </c>
      <c r="H85" s="108">
        <f t="shared" si="2"/>
        <v>8</v>
      </c>
      <c r="I85" s="5">
        <v>1</v>
      </c>
      <c r="J85" s="108">
        <f t="shared" si="3"/>
        <v>48</v>
      </c>
    </row>
    <row r="86" spans="1:10" x14ac:dyDescent="0.25">
      <c r="A86" s="104">
        <v>44603</v>
      </c>
      <c r="B86" s="5" t="s">
        <v>22</v>
      </c>
      <c r="C86" s="108">
        <v>40</v>
      </c>
      <c r="D86" s="5" t="s">
        <v>213</v>
      </c>
      <c r="E86" s="5">
        <v>40</v>
      </c>
      <c r="F86" s="5">
        <v>48</v>
      </c>
      <c r="G86" s="5">
        <v>55</v>
      </c>
      <c r="H86" s="108">
        <f t="shared" si="2"/>
        <v>8</v>
      </c>
      <c r="I86" s="5">
        <v>1</v>
      </c>
      <c r="J86" s="108">
        <f t="shared" si="3"/>
        <v>48</v>
      </c>
    </row>
    <row r="87" spans="1:10" x14ac:dyDescent="0.25">
      <c r="A87" s="104">
        <v>44603</v>
      </c>
      <c r="B87" s="5" t="s">
        <v>19</v>
      </c>
      <c r="C87" s="108">
        <v>77</v>
      </c>
      <c r="D87" s="5" t="s">
        <v>214</v>
      </c>
      <c r="E87" s="5">
        <v>85</v>
      </c>
      <c r="F87" s="5">
        <v>106</v>
      </c>
      <c r="G87" s="5">
        <v>130</v>
      </c>
      <c r="H87" s="108">
        <f t="shared" si="2"/>
        <v>21</v>
      </c>
      <c r="I87" s="5">
        <v>1</v>
      </c>
      <c r="J87" s="108">
        <f t="shared" si="3"/>
        <v>106</v>
      </c>
    </row>
    <row r="88" spans="1:10" x14ac:dyDescent="0.25">
      <c r="A88" s="104">
        <v>44603</v>
      </c>
      <c r="B88" s="5" t="s">
        <v>19</v>
      </c>
      <c r="C88" s="108">
        <v>77</v>
      </c>
      <c r="D88" s="5" t="s">
        <v>216</v>
      </c>
      <c r="E88" s="5">
        <v>85</v>
      </c>
      <c r="F88" s="5">
        <v>106</v>
      </c>
      <c r="G88" s="5">
        <v>130</v>
      </c>
      <c r="H88" s="108">
        <f t="shared" si="2"/>
        <v>21</v>
      </c>
      <c r="I88" s="5"/>
      <c r="J88" s="108">
        <f t="shared" si="3"/>
        <v>0</v>
      </c>
    </row>
    <row r="89" spans="1:10" x14ac:dyDescent="0.25">
      <c r="A89" s="104">
        <v>44603</v>
      </c>
      <c r="B89" s="5" t="s">
        <v>19</v>
      </c>
      <c r="C89" s="108">
        <v>77</v>
      </c>
      <c r="D89" s="5" t="s">
        <v>208</v>
      </c>
      <c r="E89" s="5">
        <v>40</v>
      </c>
      <c r="F89" s="5">
        <v>48</v>
      </c>
      <c r="G89" s="5">
        <v>55</v>
      </c>
      <c r="H89" s="108">
        <f t="shared" si="2"/>
        <v>8</v>
      </c>
      <c r="I89" s="5">
        <v>4</v>
      </c>
      <c r="J89" s="108">
        <f t="shared" si="3"/>
        <v>192</v>
      </c>
    </row>
    <row r="90" spans="1:10" x14ac:dyDescent="0.25">
      <c r="A90" s="104">
        <v>44603</v>
      </c>
      <c r="B90" s="5" t="s">
        <v>19</v>
      </c>
      <c r="C90" s="108">
        <v>77</v>
      </c>
      <c r="D90" s="5" t="s">
        <v>210</v>
      </c>
      <c r="E90" s="5">
        <v>40</v>
      </c>
      <c r="F90" s="5">
        <v>48</v>
      </c>
      <c r="G90" s="5">
        <v>55</v>
      </c>
      <c r="H90" s="108">
        <f t="shared" si="2"/>
        <v>8</v>
      </c>
      <c r="I90" s="5">
        <v>5</v>
      </c>
      <c r="J90" s="108">
        <f t="shared" si="3"/>
        <v>240</v>
      </c>
    </row>
    <row r="91" spans="1:10" x14ac:dyDescent="0.25">
      <c r="A91" s="104">
        <v>44603</v>
      </c>
      <c r="B91" s="5" t="s">
        <v>19</v>
      </c>
      <c r="C91" s="108">
        <v>77</v>
      </c>
      <c r="D91" s="5" t="s">
        <v>212</v>
      </c>
      <c r="E91" s="5">
        <v>40</v>
      </c>
      <c r="F91" s="5">
        <v>48</v>
      </c>
      <c r="G91" s="5">
        <v>55</v>
      </c>
      <c r="H91" s="108">
        <f t="shared" si="2"/>
        <v>8</v>
      </c>
      <c r="I91" s="5">
        <v>8</v>
      </c>
      <c r="J91" s="108">
        <f t="shared" si="3"/>
        <v>384</v>
      </c>
    </row>
    <row r="92" spans="1:10" x14ac:dyDescent="0.25">
      <c r="A92" s="104">
        <v>44603</v>
      </c>
      <c r="B92" s="5" t="s">
        <v>21</v>
      </c>
      <c r="C92" s="108">
        <v>53</v>
      </c>
      <c r="D92" s="5" t="s">
        <v>214</v>
      </c>
      <c r="E92" s="5">
        <v>85</v>
      </c>
      <c r="F92" s="5">
        <v>106</v>
      </c>
      <c r="G92" s="5">
        <v>130</v>
      </c>
      <c r="H92" s="108">
        <f t="shared" si="2"/>
        <v>21</v>
      </c>
      <c r="I92" s="5">
        <v>1</v>
      </c>
      <c r="J92" s="108">
        <f t="shared" si="3"/>
        <v>106</v>
      </c>
    </row>
    <row r="93" spans="1:10" x14ac:dyDescent="0.25">
      <c r="A93" s="104">
        <v>44603</v>
      </c>
      <c r="B93" s="5" t="s">
        <v>21</v>
      </c>
      <c r="C93" s="108">
        <v>53</v>
      </c>
      <c r="D93" s="5" t="s">
        <v>216</v>
      </c>
      <c r="E93" s="5">
        <v>85</v>
      </c>
      <c r="F93" s="5">
        <v>106</v>
      </c>
      <c r="G93" s="5">
        <v>130</v>
      </c>
      <c r="H93" s="108">
        <f t="shared" si="2"/>
        <v>21</v>
      </c>
      <c r="I93" s="5">
        <v>2</v>
      </c>
      <c r="J93" s="108">
        <f t="shared" si="3"/>
        <v>212</v>
      </c>
    </row>
    <row r="94" spans="1:10" x14ac:dyDescent="0.25">
      <c r="A94" s="104">
        <v>44603</v>
      </c>
      <c r="B94" s="5" t="s">
        <v>21</v>
      </c>
      <c r="C94" s="108">
        <v>53</v>
      </c>
      <c r="D94" s="5" t="s">
        <v>208</v>
      </c>
      <c r="E94" s="5">
        <v>40</v>
      </c>
      <c r="F94" s="5">
        <v>48</v>
      </c>
      <c r="G94" s="5">
        <v>55</v>
      </c>
      <c r="H94" s="108">
        <f t="shared" si="2"/>
        <v>8</v>
      </c>
      <c r="I94" s="5"/>
      <c r="J94" s="108">
        <f t="shared" si="3"/>
        <v>0</v>
      </c>
    </row>
    <row r="95" spans="1:10" x14ac:dyDescent="0.25">
      <c r="A95" s="104">
        <v>44603</v>
      </c>
      <c r="B95" s="5" t="s">
        <v>21</v>
      </c>
      <c r="C95" s="108">
        <v>53</v>
      </c>
      <c r="D95" s="5" t="s">
        <v>210</v>
      </c>
      <c r="E95" s="5">
        <v>40</v>
      </c>
      <c r="F95" s="5">
        <v>48</v>
      </c>
      <c r="G95" s="5">
        <v>55</v>
      </c>
      <c r="H95" s="108">
        <f t="shared" si="2"/>
        <v>8</v>
      </c>
      <c r="I95" s="5"/>
      <c r="J95" s="108">
        <f t="shared" si="3"/>
        <v>0</v>
      </c>
    </row>
    <row r="96" spans="1:10" x14ac:dyDescent="0.25">
      <c r="A96" s="104">
        <v>44603</v>
      </c>
      <c r="B96" s="5" t="s">
        <v>21</v>
      </c>
      <c r="C96" s="108">
        <v>53</v>
      </c>
      <c r="D96" s="5" t="s">
        <v>212</v>
      </c>
      <c r="E96" s="5">
        <v>40</v>
      </c>
      <c r="F96" s="5">
        <v>48</v>
      </c>
      <c r="G96" s="5">
        <v>55</v>
      </c>
      <c r="H96" s="108">
        <f t="shared" si="2"/>
        <v>8</v>
      </c>
      <c r="I96" s="5"/>
      <c r="J96" s="108">
        <f t="shared" si="3"/>
        <v>0</v>
      </c>
    </row>
    <row r="97" spans="1:10" x14ac:dyDescent="0.25">
      <c r="A97" s="104">
        <v>44603</v>
      </c>
      <c r="B97" s="5" t="s">
        <v>23</v>
      </c>
      <c r="C97" s="108">
        <v>50</v>
      </c>
      <c r="D97" s="5" t="s">
        <v>214</v>
      </c>
      <c r="E97" s="5">
        <v>85</v>
      </c>
      <c r="F97" s="5">
        <v>106</v>
      </c>
      <c r="G97" s="5">
        <v>130</v>
      </c>
      <c r="H97" s="108">
        <f t="shared" si="2"/>
        <v>21</v>
      </c>
      <c r="I97" s="5"/>
      <c r="J97" s="108">
        <f t="shared" si="3"/>
        <v>0</v>
      </c>
    </row>
    <row r="98" spans="1:10" x14ac:dyDescent="0.25">
      <c r="A98" s="104">
        <v>44603</v>
      </c>
      <c r="B98" s="5" t="s">
        <v>23</v>
      </c>
      <c r="C98" s="108">
        <v>50</v>
      </c>
      <c r="D98" s="5" t="s">
        <v>216</v>
      </c>
      <c r="E98" s="5">
        <v>85</v>
      </c>
      <c r="F98" s="5">
        <v>106</v>
      </c>
      <c r="G98" s="5">
        <v>130</v>
      </c>
      <c r="H98" s="108">
        <f t="shared" si="2"/>
        <v>21</v>
      </c>
      <c r="I98" s="5"/>
      <c r="J98" s="108">
        <f t="shared" si="3"/>
        <v>0</v>
      </c>
    </row>
    <row r="99" spans="1:10" x14ac:dyDescent="0.25">
      <c r="A99" s="104">
        <v>44603</v>
      </c>
      <c r="B99" s="5" t="s">
        <v>23</v>
      </c>
      <c r="C99" s="108">
        <v>50</v>
      </c>
      <c r="D99" s="5" t="s">
        <v>208</v>
      </c>
      <c r="E99" s="5">
        <v>40</v>
      </c>
      <c r="F99" s="5">
        <v>48</v>
      </c>
      <c r="G99" s="5">
        <v>55</v>
      </c>
      <c r="H99" s="108">
        <f t="shared" si="2"/>
        <v>8</v>
      </c>
      <c r="I99" s="5"/>
      <c r="J99" s="108">
        <f t="shared" si="3"/>
        <v>0</v>
      </c>
    </row>
    <row r="100" spans="1:10" x14ac:dyDescent="0.25">
      <c r="A100" s="104">
        <v>44603</v>
      </c>
      <c r="B100" s="5" t="s">
        <v>23</v>
      </c>
      <c r="C100" s="108">
        <v>50</v>
      </c>
      <c r="D100" s="5" t="s">
        <v>210</v>
      </c>
      <c r="E100" s="5">
        <v>40</v>
      </c>
      <c r="F100" s="5">
        <v>48</v>
      </c>
      <c r="G100" s="5">
        <v>55</v>
      </c>
      <c r="H100" s="108">
        <f t="shared" si="2"/>
        <v>8</v>
      </c>
      <c r="I100" s="5"/>
      <c r="J100" s="108">
        <f t="shared" si="3"/>
        <v>0</v>
      </c>
    </row>
    <row r="101" spans="1:10" x14ac:dyDescent="0.25">
      <c r="A101" s="104">
        <v>44603</v>
      </c>
      <c r="B101" s="5" t="s">
        <v>23</v>
      </c>
      <c r="C101" s="108">
        <v>50</v>
      </c>
      <c r="D101" s="5" t="s">
        <v>212</v>
      </c>
      <c r="E101" s="5">
        <v>40</v>
      </c>
      <c r="F101" s="5">
        <v>48</v>
      </c>
      <c r="G101" s="5">
        <v>55</v>
      </c>
      <c r="H101" s="108">
        <f t="shared" si="2"/>
        <v>8</v>
      </c>
      <c r="I101" s="5">
        <v>2</v>
      </c>
      <c r="J101" s="108">
        <f t="shared" si="3"/>
        <v>96</v>
      </c>
    </row>
    <row r="102" spans="1:10" x14ac:dyDescent="0.25">
      <c r="A102" s="104">
        <v>44603</v>
      </c>
      <c r="B102" s="5" t="s">
        <v>25</v>
      </c>
      <c r="C102" s="108">
        <v>23</v>
      </c>
      <c r="D102" s="5" t="s">
        <v>214</v>
      </c>
      <c r="E102" s="5">
        <v>85</v>
      </c>
      <c r="F102" s="5">
        <v>106</v>
      </c>
      <c r="G102" s="5">
        <v>130</v>
      </c>
      <c r="H102" s="108">
        <f t="shared" si="2"/>
        <v>21</v>
      </c>
      <c r="I102" s="5"/>
      <c r="J102" s="108">
        <f t="shared" si="3"/>
        <v>0</v>
      </c>
    </row>
    <row r="103" spans="1:10" x14ac:dyDescent="0.25">
      <c r="A103" s="104">
        <v>44603</v>
      </c>
      <c r="B103" s="5" t="s">
        <v>25</v>
      </c>
      <c r="C103" s="108">
        <v>23</v>
      </c>
      <c r="D103" s="5" t="s">
        <v>216</v>
      </c>
      <c r="E103" s="5">
        <v>85</v>
      </c>
      <c r="F103" s="5">
        <v>106</v>
      </c>
      <c r="G103" s="5">
        <v>130</v>
      </c>
      <c r="H103" s="108">
        <f t="shared" si="2"/>
        <v>21</v>
      </c>
      <c r="I103" s="5"/>
      <c r="J103" s="108">
        <f t="shared" si="3"/>
        <v>0</v>
      </c>
    </row>
    <row r="104" spans="1:10" x14ac:dyDescent="0.25">
      <c r="A104" s="104">
        <v>44603</v>
      </c>
      <c r="B104" s="5" t="s">
        <v>25</v>
      </c>
      <c r="C104" s="108">
        <v>23</v>
      </c>
      <c r="D104" s="5" t="s">
        <v>208</v>
      </c>
      <c r="E104" s="5">
        <v>40</v>
      </c>
      <c r="F104" s="5">
        <v>48</v>
      </c>
      <c r="G104" s="5">
        <v>55</v>
      </c>
      <c r="H104" s="108">
        <f t="shared" si="2"/>
        <v>8</v>
      </c>
      <c r="I104" s="5"/>
      <c r="J104" s="108">
        <f t="shared" si="3"/>
        <v>0</v>
      </c>
    </row>
    <row r="105" spans="1:10" x14ac:dyDescent="0.25">
      <c r="A105" s="104">
        <v>44603</v>
      </c>
      <c r="B105" s="5" t="s">
        <v>25</v>
      </c>
      <c r="C105" s="108">
        <v>23</v>
      </c>
      <c r="D105" s="5" t="s">
        <v>210</v>
      </c>
      <c r="E105" s="5">
        <v>40</v>
      </c>
      <c r="F105" s="5">
        <v>48</v>
      </c>
      <c r="G105" s="5">
        <v>55</v>
      </c>
      <c r="H105" s="108">
        <f t="shared" si="2"/>
        <v>8</v>
      </c>
      <c r="I105" s="5"/>
      <c r="J105" s="108">
        <f t="shared" si="3"/>
        <v>0</v>
      </c>
    </row>
    <row r="106" spans="1:10" x14ac:dyDescent="0.25">
      <c r="A106" s="104">
        <v>44603</v>
      </c>
      <c r="B106" s="5" t="s">
        <v>25</v>
      </c>
      <c r="C106" s="108">
        <v>23</v>
      </c>
      <c r="D106" s="5" t="s">
        <v>212</v>
      </c>
      <c r="E106" s="5">
        <v>40</v>
      </c>
      <c r="F106" s="5">
        <v>48</v>
      </c>
      <c r="G106" s="5">
        <v>55</v>
      </c>
      <c r="H106" s="108">
        <f t="shared" si="2"/>
        <v>8</v>
      </c>
      <c r="I106" s="5"/>
      <c r="J106" s="108">
        <f t="shared" si="3"/>
        <v>0</v>
      </c>
    </row>
    <row r="107" spans="1:10" x14ac:dyDescent="0.25">
      <c r="A107" s="104">
        <v>44603</v>
      </c>
      <c r="B107" s="5" t="s">
        <v>31</v>
      </c>
      <c r="C107" s="5">
        <v>33</v>
      </c>
      <c r="D107" s="5" t="s">
        <v>214</v>
      </c>
      <c r="E107" s="5">
        <v>85</v>
      </c>
      <c r="F107" s="5">
        <v>106</v>
      </c>
      <c r="G107" s="5">
        <v>130</v>
      </c>
      <c r="H107" s="108">
        <f t="shared" si="2"/>
        <v>21</v>
      </c>
      <c r="I107" s="5"/>
      <c r="J107" s="108">
        <f t="shared" si="3"/>
        <v>0</v>
      </c>
    </row>
    <row r="108" spans="1:10" x14ac:dyDescent="0.25">
      <c r="A108" s="104">
        <v>44603</v>
      </c>
      <c r="B108" s="5" t="s">
        <v>31</v>
      </c>
      <c r="C108" s="5">
        <v>33</v>
      </c>
      <c r="D108" s="5" t="s">
        <v>216</v>
      </c>
      <c r="E108" s="5">
        <v>85</v>
      </c>
      <c r="F108" s="5">
        <v>106</v>
      </c>
      <c r="G108" s="5">
        <v>130</v>
      </c>
      <c r="H108" s="108">
        <f t="shared" si="2"/>
        <v>21</v>
      </c>
      <c r="I108" s="5"/>
      <c r="J108" s="108">
        <f t="shared" si="3"/>
        <v>0</v>
      </c>
    </row>
    <row r="109" spans="1:10" x14ac:dyDescent="0.25">
      <c r="A109" s="104">
        <v>44603</v>
      </c>
      <c r="B109" s="5" t="s">
        <v>31</v>
      </c>
      <c r="C109" s="5">
        <v>33</v>
      </c>
      <c r="D109" s="5" t="s">
        <v>208</v>
      </c>
      <c r="E109" s="5">
        <v>40</v>
      </c>
      <c r="F109" s="5">
        <v>48</v>
      </c>
      <c r="G109" s="5">
        <v>55</v>
      </c>
      <c r="H109" s="108">
        <f t="shared" si="2"/>
        <v>8</v>
      </c>
      <c r="I109" s="5"/>
      <c r="J109" s="108">
        <f t="shared" si="3"/>
        <v>0</v>
      </c>
    </row>
    <row r="110" spans="1:10" x14ac:dyDescent="0.25">
      <c r="A110" s="104">
        <v>44603</v>
      </c>
      <c r="B110" s="5" t="s">
        <v>31</v>
      </c>
      <c r="C110" s="5">
        <v>33</v>
      </c>
      <c r="D110" s="5" t="s">
        <v>210</v>
      </c>
      <c r="E110" s="5">
        <v>40</v>
      </c>
      <c r="F110" s="5">
        <v>48</v>
      </c>
      <c r="G110" s="5">
        <v>55</v>
      </c>
      <c r="H110" s="108">
        <f t="shared" si="2"/>
        <v>8</v>
      </c>
      <c r="I110" s="5"/>
      <c r="J110" s="108">
        <f t="shared" si="3"/>
        <v>0</v>
      </c>
    </row>
    <row r="111" spans="1:10" x14ac:dyDescent="0.25">
      <c r="A111" s="104">
        <v>44603</v>
      </c>
      <c r="B111" s="5" t="s">
        <v>31</v>
      </c>
      <c r="C111" s="5">
        <v>33</v>
      </c>
      <c r="D111" s="5" t="s">
        <v>212</v>
      </c>
      <c r="E111" s="5">
        <v>40</v>
      </c>
      <c r="F111" s="5">
        <v>48</v>
      </c>
      <c r="G111" s="5">
        <v>55</v>
      </c>
      <c r="H111" s="108">
        <f t="shared" si="2"/>
        <v>8</v>
      </c>
      <c r="I111" s="5"/>
      <c r="J111" s="108">
        <f t="shared" si="3"/>
        <v>0</v>
      </c>
    </row>
    <row r="112" spans="1:10" x14ac:dyDescent="0.25">
      <c r="A112" s="104">
        <v>44603</v>
      </c>
      <c r="B112" s="5" t="s">
        <v>20</v>
      </c>
      <c r="C112" s="5">
        <v>99</v>
      </c>
      <c r="D112" s="5" t="s">
        <v>214</v>
      </c>
      <c r="E112" s="5">
        <v>85</v>
      </c>
      <c r="F112" s="5">
        <v>106</v>
      </c>
      <c r="G112" s="5">
        <v>130</v>
      </c>
      <c r="H112" s="108">
        <f t="shared" si="2"/>
        <v>21</v>
      </c>
      <c r="I112" s="5"/>
      <c r="J112" s="108">
        <f t="shared" si="3"/>
        <v>0</v>
      </c>
    </row>
    <row r="113" spans="1:10" x14ac:dyDescent="0.25">
      <c r="A113" s="104">
        <v>44603</v>
      </c>
      <c r="B113" s="5" t="s">
        <v>20</v>
      </c>
      <c r="C113" s="5">
        <v>99</v>
      </c>
      <c r="D113" s="5" t="s">
        <v>216</v>
      </c>
      <c r="E113" s="5">
        <v>85</v>
      </c>
      <c r="F113" s="5">
        <v>106</v>
      </c>
      <c r="G113" s="5">
        <v>130</v>
      </c>
      <c r="H113" s="108">
        <f t="shared" si="2"/>
        <v>21</v>
      </c>
      <c r="I113" s="5">
        <v>1</v>
      </c>
      <c r="J113" s="108">
        <f t="shared" si="3"/>
        <v>106</v>
      </c>
    </row>
    <row r="114" spans="1:10" x14ac:dyDescent="0.25">
      <c r="A114" s="104">
        <v>44603</v>
      </c>
      <c r="B114" s="5" t="s">
        <v>20</v>
      </c>
      <c r="C114" s="5">
        <v>99</v>
      </c>
      <c r="D114" s="5" t="s">
        <v>208</v>
      </c>
      <c r="E114" s="5">
        <v>40</v>
      </c>
      <c r="F114" s="5">
        <v>48</v>
      </c>
      <c r="G114" s="5">
        <v>55</v>
      </c>
      <c r="H114" s="108">
        <f t="shared" si="2"/>
        <v>8</v>
      </c>
      <c r="I114" s="5">
        <v>1</v>
      </c>
      <c r="J114" s="108">
        <f t="shared" si="3"/>
        <v>48</v>
      </c>
    </row>
    <row r="115" spans="1:10" x14ac:dyDescent="0.25">
      <c r="A115" s="104">
        <v>44603</v>
      </c>
      <c r="B115" s="5" t="s">
        <v>20</v>
      </c>
      <c r="C115" s="5">
        <v>99</v>
      </c>
      <c r="D115" s="5" t="s">
        <v>210</v>
      </c>
      <c r="E115" s="5">
        <v>40</v>
      </c>
      <c r="F115" s="5">
        <v>48</v>
      </c>
      <c r="G115" s="5">
        <v>55</v>
      </c>
      <c r="H115" s="108">
        <f t="shared" si="2"/>
        <v>8</v>
      </c>
      <c r="I115" s="5">
        <v>1</v>
      </c>
      <c r="J115" s="108">
        <f t="shared" si="3"/>
        <v>48</v>
      </c>
    </row>
    <row r="116" spans="1:10" x14ac:dyDescent="0.25">
      <c r="A116" s="104">
        <v>44603</v>
      </c>
      <c r="B116" s="5" t="s">
        <v>20</v>
      </c>
      <c r="C116" s="5">
        <v>99</v>
      </c>
      <c r="D116" s="5" t="s">
        <v>212</v>
      </c>
      <c r="E116" s="5">
        <v>40</v>
      </c>
      <c r="F116" s="5">
        <v>48</v>
      </c>
      <c r="G116" s="5">
        <v>55</v>
      </c>
      <c r="H116" s="108">
        <f t="shared" si="2"/>
        <v>8</v>
      </c>
      <c r="I116" s="5">
        <v>1</v>
      </c>
      <c r="J116" s="108">
        <f t="shared" si="3"/>
        <v>48</v>
      </c>
    </row>
    <row r="117" spans="1:10" x14ac:dyDescent="0.25">
      <c r="A117" s="104">
        <v>44603</v>
      </c>
      <c r="B117" s="5" t="s">
        <v>24</v>
      </c>
      <c r="C117" s="5">
        <v>21</v>
      </c>
      <c r="D117" s="5" t="s">
        <v>214</v>
      </c>
      <c r="E117" s="5">
        <v>85</v>
      </c>
      <c r="F117" s="5">
        <v>106</v>
      </c>
      <c r="G117" s="5">
        <v>130</v>
      </c>
      <c r="H117" s="108">
        <f t="shared" si="2"/>
        <v>21</v>
      </c>
      <c r="I117" s="5"/>
      <c r="J117" s="108">
        <f t="shared" si="3"/>
        <v>0</v>
      </c>
    </row>
    <row r="118" spans="1:10" x14ac:dyDescent="0.25">
      <c r="A118" s="104">
        <v>44603</v>
      </c>
      <c r="B118" s="5" t="s">
        <v>24</v>
      </c>
      <c r="C118" s="5">
        <v>21</v>
      </c>
      <c r="D118" s="5" t="s">
        <v>216</v>
      </c>
      <c r="E118" s="5">
        <v>85</v>
      </c>
      <c r="F118" s="5">
        <v>106</v>
      </c>
      <c r="G118" s="5">
        <v>130</v>
      </c>
      <c r="H118" s="108">
        <f t="shared" si="2"/>
        <v>21</v>
      </c>
      <c r="I118" s="5"/>
      <c r="J118" s="108">
        <f t="shared" si="3"/>
        <v>0</v>
      </c>
    </row>
    <row r="119" spans="1:10" x14ac:dyDescent="0.25">
      <c r="A119" s="104">
        <v>44603</v>
      </c>
      <c r="B119" s="5" t="s">
        <v>24</v>
      </c>
      <c r="C119" s="5">
        <v>21</v>
      </c>
      <c r="D119" s="5" t="s">
        <v>208</v>
      </c>
      <c r="E119" s="5">
        <v>40</v>
      </c>
      <c r="F119" s="5">
        <v>48</v>
      </c>
      <c r="G119" s="5">
        <v>55</v>
      </c>
      <c r="H119" s="108">
        <f t="shared" si="2"/>
        <v>8</v>
      </c>
      <c r="I119" s="5"/>
      <c r="J119" s="108">
        <f t="shared" si="3"/>
        <v>0</v>
      </c>
    </row>
    <row r="120" spans="1:10" x14ac:dyDescent="0.25">
      <c r="A120" s="104">
        <v>44603</v>
      </c>
      <c r="B120" s="5" t="s">
        <v>24</v>
      </c>
      <c r="C120" s="5">
        <v>21</v>
      </c>
      <c r="D120" s="5" t="s">
        <v>210</v>
      </c>
      <c r="E120" s="5">
        <v>40</v>
      </c>
      <c r="F120" s="5">
        <v>48</v>
      </c>
      <c r="G120" s="5">
        <v>55</v>
      </c>
      <c r="H120" s="108">
        <f t="shared" si="2"/>
        <v>8</v>
      </c>
      <c r="I120" s="5"/>
      <c r="J120" s="108">
        <f t="shared" si="3"/>
        <v>0</v>
      </c>
    </row>
    <row r="121" spans="1:10" x14ac:dyDescent="0.25">
      <c r="A121" s="104">
        <v>44603</v>
      </c>
      <c r="B121" s="5" t="s">
        <v>24</v>
      </c>
      <c r="C121" s="5">
        <v>21</v>
      </c>
      <c r="D121" s="5" t="s">
        <v>212</v>
      </c>
      <c r="E121" s="5">
        <v>40</v>
      </c>
      <c r="F121" s="5">
        <v>48</v>
      </c>
      <c r="G121" s="5">
        <v>55</v>
      </c>
      <c r="H121" s="108">
        <f t="shared" si="2"/>
        <v>8</v>
      </c>
      <c r="I121" s="5"/>
      <c r="J121" s="108">
        <f t="shared" si="3"/>
        <v>0</v>
      </c>
    </row>
    <row r="122" spans="1:10" x14ac:dyDescent="0.25">
      <c r="A122" s="104">
        <v>44603</v>
      </c>
      <c r="B122" s="5" t="s">
        <v>26</v>
      </c>
      <c r="C122" s="5">
        <v>18</v>
      </c>
      <c r="D122" s="5" t="s">
        <v>214</v>
      </c>
      <c r="E122" s="5">
        <v>85</v>
      </c>
      <c r="F122" s="5">
        <v>106</v>
      </c>
      <c r="G122" s="5">
        <v>130</v>
      </c>
      <c r="H122" s="108">
        <f t="shared" si="2"/>
        <v>21</v>
      </c>
      <c r="I122" s="5"/>
      <c r="J122" s="108">
        <f t="shared" si="3"/>
        <v>0</v>
      </c>
    </row>
    <row r="123" spans="1:10" x14ac:dyDescent="0.25">
      <c r="A123" s="104">
        <v>44603</v>
      </c>
      <c r="B123" s="5" t="s">
        <v>26</v>
      </c>
      <c r="C123" s="5">
        <v>18</v>
      </c>
      <c r="D123" s="5" t="s">
        <v>216</v>
      </c>
      <c r="E123" s="5">
        <v>85</v>
      </c>
      <c r="F123" s="5">
        <v>106</v>
      </c>
      <c r="G123" s="5">
        <v>130</v>
      </c>
      <c r="H123" s="108">
        <f t="shared" si="2"/>
        <v>21</v>
      </c>
      <c r="I123" s="5"/>
      <c r="J123" s="108">
        <f t="shared" si="3"/>
        <v>0</v>
      </c>
    </row>
    <row r="124" spans="1:10" x14ac:dyDescent="0.25">
      <c r="A124" s="104">
        <v>44603</v>
      </c>
      <c r="B124" s="5" t="s">
        <v>26</v>
      </c>
      <c r="C124" s="5">
        <v>18</v>
      </c>
      <c r="D124" s="5" t="s">
        <v>208</v>
      </c>
      <c r="E124" s="5">
        <v>40</v>
      </c>
      <c r="F124" s="5">
        <v>48</v>
      </c>
      <c r="G124" s="5">
        <v>55</v>
      </c>
      <c r="H124" s="108">
        <f t="shared" si="2"/>
        <v>8</v>
      </c>
      <c r="I124" s="5"/>
      <c r="J124" s="108">
        <f t="shared" si="3"/>
        <v>0</v>
      </c>
    </row>
    <row r="125" spans="1:10" x14ac:dyDescent="0.25">
      <c r="A125" s="104">
        <v>44603</v>
      </c>
      <c r="B125" s="5" t="s">
        <v>26</v>
      </c>
      <c r="C125" s="5">
        <v>18</v>
      </c>
      <c r="D125" s="5" t="s">
        <v>210</v>
      </c>
      <c r="E125" s="5">
        <v>40</v>
      </c>
      <c r="F125" s="5">
        <v>48</v>
      </c>
      <c r="G125" s="5">
        <v>55</v>
      </c>
      <c r="H125" s="108">
        <f t="shared" si="2"/>
        <v>8</v>
      </c>
      <c r="I125" s="5"/>
      <c r="J125" s="108">
        <f t="shared" si="3"/>
        <v>0</v>
      </c>
    </row>
    <row r="126" spans="1:10" x14ac:dyDescent="0.25">
      <c r="A126" s="104">
        <v>44603</v>
      </c>
      <c r="B126" s="5" t="s">
        <v>26</v>
      </c>
      <c r="C126" s="5">
        <v>18</v>
      </c>
      <c r="D126" s="5" t="s">
        <v>212</v>
      </c>
      <c r="E126" s="5">
        <v>40</v>
      </c>
      <c r="F126" s="5">
        <v>48</v>
      </c>
      <c r="G126" s="5">
        <v>55</v>
      </c>
      <c r="H126" s="108">
        <f t="shared" si="2"/>
        <v>8</v>
      </c>
      <c r="I126" s="5"/>
      <c r="J126" s="108">
        <f t="shared" si="3"/>
        <v>0</v>
      </c>
    </row>
    <row r="127" spans="1:10" x14ac:dyDescent="0.25">
      <c r="A127" s="104">
        <v>44603</v>
      </c>
      <c r="B127" s="5" t="s">
        <v>89</v>
      </c>
      <c r="C127" s="5">
        <v>32</v>
      </c>
      <c r="D127" s="5" t="s">
        <v>214</v>
      </c>
      <c r="E127" s="5">
        <v>85</v>
      </c>
      <c r="F127" s="5">
        <v>106</v>
      </c>
      <c r="G127" s="5">
        <v>130</v>
      </c>
      <c r="H127" s="108">
        <f t="shared" si="2"/>
        <v>21</v>
      </c>
      <c r="I127" s="5"/>
      <c r="J127" s="108">
        <f t="shared" si="3"/>
        <v>0</v>
      </c>
    </row>
    <row r="128" spans="1:10" x14ac:dyDescent="0.25">
      <c r="A128" s="104">
        <v>44603</v>
      </c>
      <c r="B128" s="5" t="s">
        <v>89</v>
      </c>
      <c r="C128" s="5">
        <v>32</v>
      </c>
      <c r="D128" s="5" t="s">
        <v>216</v>
      </c>
      <c r="E128" s="5">
        <v>85</v>
      </c>
      <c r="F128" s="5">
        <v>106</v>
      </c>
      <c r="G128" s="5">
        <v>130</v>
      </c>
      <c r="H128" s="108">
        <f t="shared" si="2"/>
        <v>21</v>
      </c>
      <c r="I128" s="5"/>
      <c r="J128" s="108">
        <f t="shared" si="3"/>
        <v>0</v>
      </c>
    </row>
    <row r="129" spans="1:10" x14ac:dyDescent="0.25">
      <c r="A129" s="104">
        <v>44603</v>
      </c>
      <c r="B129" s="5" t="s">
        <v>89</v>
      </c>
      <c r="C129" s="5">
        <v>32</v>
      </c>
      <c r="D129" s="5" t="s">
        <v>208</v>
      </c>
      <c r="E129" s="5">
        <v>40</v>
      </c>
      <c r="F129" s="5">
        <v>48</v>
      </c>
      <c r="G129" s="5">
        <v>55</v>
      </c>
      <c r="H129" s="108">
        <f t="shared" si="2"/>
        <v>8</v>
      </c>
      <c r="I129" s="5"/>
      <c r="J129" s="108">
        <f t="shared" si="3"/>
        <v>0</v>
      </c>
    </row>
    <row r="130" spans="1:10" x14ac:dyDescent="0.25">
      <c r="A130" s="104">
        <v>44603</v>
      </c>
      <c r="B130" s="5" t="s">
        <v>89</v>
      </c>
      <c r="C130" s="5">
        <v>32</v>
      </c>
      <c r="D130" s="5" t="s">
        <v>210</v>
      </c>
      <c r="E130" s="5">
        <v>40</v>
      </c>
      <c r="F130" s="5">
        <v>48</v>
      </c>
      <c r="G130" s="5">
        <v>55</v>
      </c>
      <c r="H130" s="108">
        <f t="shared" si="2"/>
        <v>8</v>
      </c>
      <c r="I130" s="5"/>
      <c r="J130" s="108">
        <f t="shared" si="3"/>
        <v>0</v>
      </c>
    </row>
    <row r="131" spans="1:10" x14ac:dyDescent="0.25">
      <c r="A131" s="104">
        <v>44603</v>
      </c>
      <c r="B131" s="5" t="s">
        <v>89</v>
      </c>
      <c r="C131" s="5">
        <v>32</v>
      </c>
      <c r="D131" s="5" t="s">
        <v>212</v>
      </c>
      <c r="E131" s="5">
        <v>40</v>
      </c>
      <c r="F131" s="5">
        <v>48</v>
      </c>
      <c r="G131" s="5">
        <v>55</v>
      </c>
      <c r="H131" s="108">
        <f t="shared" ref="H131:H181" si="4">F131-E131</f>
        <v>8</v>
      </c>
      <c r="I131" s="5"/>
      <c r="J131" s="108">
        <f t="shared" ref="J131:J181" si="5">F131*I131</f>
        <v>0</v>
      </c>
    </row>
    <row r="132" spans="1:10" x14ac:dyDescent="0.25">
      <c r="A132" s="104">
        <v>44610</v>
      </c>
      <c r="B132" s="5" t="s">
        <v>22</v>
      </c>
      <c r="C132" s="5">
        <v>40</v>
      </c>
      <c r="D132" s="5" t="s">
        <v>219</v>
      </c>
      <c r="E132" s="5">
        <v>12</v>
      </c>
      <c r="F132" s="5">
        <v>17</v>
      </c>
      <c r="G132" s="5">
        <v>25</v>
      </c>
      <c r="H132" s="108">
        <f t="shared" si="4"/>
        <v>5</v>
      </c>
      <c r="I132" s="5"/>
      <c r="J132" s="108">
        <f t="shared" si="5"/>
        <v>0</v>
      </c>
    </row>
    <row r="133" spans="1:10" x14ac:dyDescent="0.25">
      <c r="A133" s="104">
        <v>44610</v>
      </c>
      <c r="B133" s="5" t="s">
        <v>22</v>
      </c>
      <c r="C133" s="5">
        <v>40</v>
      </c>
      <c r="D133" s="5" t="s">
        <v>221</v>
      </c>
      <c r="E133" s="5">
        <v>45</v>
      </c>
      <c r="F133" s="5">
        <v>60</v>
      </c>
      <c r="G133" s="5">
        <v>70</v>
      </c>
      <c r="H133" s="108">
        <f t="shared" si="4"/>
        <v>15</v>
      </c>
      <c r="I133" s="5"/>
      <c r="J133" s="108">
        <f t="shared" si="5"/>
        <v>0</v>
      </c>
    </row>
    <row r="134" spans="1:10" x14ac:dyDescent="0.25">
      <c r="A134" s="104">
        <v>44610</v>
      </c>
      <c r="B134" s="5" t="s">
        <v>22</v>
      </c>
      <c r="C134" s="5">
        <v>40</v>
      </c>
      <c r="D134" s="5" t="s">
        <v>223</v>
      </c>
      <c r="E134" s="5">
        <v>45</v>
      </c>
      <c r="F134" s="5">
        <v>60</v>
      </c>
      <c r="G134" s="5">
        <v>70</v>
      </c>
      <c r="H134" s="108">
        <f t="shared" si="4"/>
        <v>15</v>
      </c>
      <c r="I134" s="5"/>
      <c r="J134" s="108">
        <f t="shared" si="5"/>
        <v>0</v>
      </c>
    </row>
    <row r="135" spans="1:10" x14ac:dyDescent="0.25">
      <c r="A135" s="104">
        <v>44610</v>
      </c>
      <c r="B135" s="5" t="s">
        <v>22</v>
      </c>
      <c r="C135" s="5">
        <v>40</v>
      </c>
      <c r="D135" s="5" t="s">
        <v>225</v>
      </c>
      <c r="E135" s="5">
        <v>70</v>
      </c>
      <c r="F135" s="5">
        <v>80</v>
      </c>
      <c r="G135" s="5">
        <v>89</v>
      </c>
      <c r="H135" s="108">
        <f t="shared" si="4"/>
        <v>10</v>
      </c>
      <c r="I135" s="5">
        <v>3</v>
      </c>
      <c r="J135" s="108">
        <f t="shared" si="5"/>
        <v>240</v>
      </c>
    </row>
    <row r="136" spans="1:10" x14ac:dyDescent="0.25">
      <c r="A136" s="104">
        <v>44610</v>
      </c>
      <c r="B136" s="5" t="s">
        <v>22</v>
      </c>
      <c r="C136" s="5">
        <v>40</v>
      </c>
      <c r="D136" s="5" t="s">
        <v>227</v>
      </c>
      <c r="E136" s="5">
        <v>83</v>
      </c>
      <c r="F136" s="5">
        <v>94</v>
      </c>
      <c r="G136" s="5">
        <v>105</v>
      </c>
      <c r="H136" s="108">
        <f t="shared" si="4"/>
        <v>11</v>
      </c>
      <c r="I136" s="5">
        <v>1</v>
      </c>
      <c r="J136" s="108">
        <f t="shared" si="5"/>
        <v>94</v>
      </c>
    </row>
    <row r="137" spans="1:10" x14ac:dyDescent="0.25">
      <c r="A137" s="104">
        <v>44610</v>
      </c>
      <c r="B137" s="5" t="s">
        <v>19</v>
      </c>
      <c r="C137" s="5">
        <v>76</v>
      </c>
      <c r="D137" s="5" t="s">
        <v>218</v>
      </c>
      <c r="E137" s="5">
        <v>12</v>
      </c>
      <c r="F137" s="5">
        <v>17</v>
      </c>
      <c r="G137" s="5">
        <v>25</v>
      </c>
      <c r="H137" s="108">
        <f t="shared" si="4"/>
        <v>5</v>
      </c>
      <c r="I137" s="5">
        <v>9</v>
      </c>
      <c r="J137" s="108">
        <f t="shared" si="5"/>
        <v>153</v>
      </c>
    </row>
    <row r="138" spans="1:10" x14ac:dyDescent="0.25">
      <c r="A138" s="104">
        <v>44610</v>
      </c>
      <c r="B138" s="5" t="s">
        <v>19</v>
      </c>
      <c r="C138" s="5">
        <v>76</v>
      </c>
      <c r="D138" s="5" t="s">
        <v>220</v>
      </c>
      <c r="E138" s="5">
        <v>45</v>
      </c>
      <c r="F138" s="5">
        <v>60</v>
      </c>
      <c r="G138" s="5">
        <v>70</v>
      </c>
      <c r="H138" s="108">
        <f t="shared" si="4"/>
        <v>15</v>
      </c>
      <c r="I138" s="5">
        <v>2</v>
      </c>
      <c r="J138" s="108">
        <f t="shared" si="5"/>
        <v>120</v>
      </c>
    </row>
    <row r="139" spans="1:10" x14ac:dyDescent="0.25">
      <c r="A139" s="104">
        <v>44610</v>
      </c>
      <c r="B139" s="5" t="s">
        <v>19</v>
      </c>
      <c r="C139" s="5">
        <v>76</v>
      </c>
      <c r="D139" s="5" t="s">
        <v>222</v>
      </c>
      <c r="E139" s="5">
        <v>45</v>
      </c>
      <c r="F139" s="5">
        <v>60</v>
      </c>
      <c r="G139" s="5">
        <v>70</v>
      </c>
      <c r="H139" s="108">
        <f t="shared" si="4"/>
        <v>15</v>
      </c>
      <c r="I139" s="5">
        <v>1</v>
      </c>
      <c r="J139" s="108">
        <f t="shared" si="5"/>
        <v>60</v>
      </c>
    </row>
    <row r="140" spans="1:10" x14ac:dyDescent="0.25">
      <c r="A140" s="104">
        <v>44610</v>
      </c>
      <c r="B140" s="5" t="s">
        <v>19</v>
      </c>
      <c r="C140" s="5">
        <v>76</v>
      </c>
      <c r="D140" s="5" t="s">
        <v>224</v>
      </c>
      <c r="E140" s="5">
        <v>70</v>
      </c>
      <c r="F140" s="5">
        <v>80</v>
      </c>
      <c r="G140" s="5">
        <v>89</v>
      </c>
      <c r="H140" s="108">
        <f t="shared" si="4"/>
        <v>10</v>
      </c>
      <c r="I140" s="5">
        <v>1</v>
      </c>
      <c r="J140" s="108">
        <f t="shared" si="5"/>
        <v>80</v>
      </c>
    </row>
    <row r="141" spans="1:10" x14ac:dyDescent="0.25">
      <c r="A141" s="104">
        <v>44610</v>
      </c>
      <c r="B141" s="5" t="s">
        <v>19</v>
      </c>
      <c r="C141" s="5">
        <v>76</v>
      </c>
      <c r="D141" s="5" t="s">
        <v>226</v>
      </c>
      <c r="E141" s="5">
        <v>83</v>
      </c>
      <c r="F141" s="5">
        <v>94</v>
      </c>
      <c r="G141" s="5">
        <v>105</v>
      </c>
      <c r="H141" s="108">
        <f t="shared" si="4"/>
        <v>11</v>
      </c>
      <c r="I141" s="5">
        <v>1</v>
      </c>
      <c r="J141" s="108">
        <f t="shared" si="5"/>
        <v>94</v>
      </c>
    </row>
    <row r="142" spans="1:10" x14ac:dyDescent="0.25">
      <c r="A142" s="104">
        <v>44610</v>
      </c>
      <c r="B142" s="5" t="s">
        <v>21</v>
      </c>
      <c r="C142" s="5">
        <v>53</v>
      </c>
      <c r="D142" s="5" t="s">
        <v>218</v>
      </c>
      <c r="E142" s="5">
        <v>12</v>
      </c>
      <c r="F142" s="5">
        <v>17</v>
      </c>
      <c r="G142" s="5">
        <v>25</v>
      </c>
      <c r="H142" s="108">
        <f t="shared" si="4"/>
        <v>5</v>
      </c>
      <c r="I142" s="5"/>
      <c r="J142" s="108">
        <f t="shared" si="5"/>
        <v>0</v>
      </c>
    </row>
    <row r="143" spans="1:10" x14ac:dyDescent="0.25">
      <c r="A143" s="104">
        <v>44610</v>
      </c>
      <c r="B143" s="5" t="s">
        <v>21</v>
      </c>
      <c r="C143" s="5">
        <v>53</v>
      </c>
      <c r="D143" s="5" t="s">
        <v>220</v>
      </c>
      <c r="E143" s="5">
        <v>45</v>
      </c>
      <c r="F143" s="5">
        <v>60</v>
      </c>
      <c r="G143" s="5">
        <v>70</v>
      </c>
      <c r="H143" s="108">
        <f t="shared" si="4"/>
        <v>15</v>
      </c>
      <c r="I143" s="5">
        <v>3</v>
      </c>
      <c r="J143" s="108">
        <f t="shared" si="5"/>
        <v>180</v>
      </c>
    </row>
    <row r="144" spans="1:10" x14ac:dyDescent="0.25">
      <c r="A144" s="104">
        <v>44610</v>
      </c>
      <c r="B144" s="5" t="s">
        <v>21</v>
      </c>
      <c r="C144" s="5">
        <v>53</v>
      </c>
      <c r="D144" s="5" t="s">
        <v>222</v>
      </c>
      <c r="E144" s="5">
        <v>45</v>
      </c>
      <c r="F144" s="5">
        <v>60</v>
      </c>
      <c r="G144" s="5">
        <v>70</v>
      </c>
      <c r="H144" s="108">
        <f t="shared" si="4"/>
        <v>15</v>
      </c>
      <c r="I144" s="5"/>
      <c r="J144" s="108">
        <f t="shared" si="5"/>
        <v>0</v>
      </c>
    </row>
    <row r="145" spans="1:10" x14ac:dyDescent="0.25">
      <c r="A145" s="104">
        <v>44610</v>
      </c>
      <c r="B145" s="5" t="s">
        <v>21</v>
      </c>
      <c r="C145" s="5">
        <v>53</v>
      </c>
      <c r="D145" s="5" t="s">
        <v>224</v>
      </c>
      <c r="E145" s="5">
        <v>70</v>
      </c>
      <c r="F145" s="5">
        <v>80</v>
      </c>
      <c r="G145" s="5">
        <v>89</v>
      </c>
      <c r="H145" s="108">
        <f t="shared" si="4"/>
        <v>10</v>
      </c>
      <c r="I145" s="5"/>
      <c r="J145" s="108">
        <f t="shared" si="5"/>
        <v>0</v>
      </c>
    </row>
    <row r="146" spans="1:10" x14ac:dyDescent="0.25">
      <c r="A146" s="104">
        <v>44610</v>
      </c>
      <c r="B146" s="5" t="s">
        <v>21</v>
      </c>
      <c r="C146" s="5">
        <v>53</v>
      </c>
      <c r="D146" s="5" t="s">
        <v>226</v>
      </c>
      <c r="E146" s="5">
        <v>83</v>
      </c>
      <c r="F146" s="5">
        <v>94</v>
      </c>
      <c r="G146" s="5">
        <v>105</v>
      </c>
      <c r="H146" s="108">
        <f t="shared" si="4"/>
        <v>11</v>
      </c>
      <c r="I146" s="5"/>
      <c r="J146" s="108">
        <f t="shared" si="5"/>
        <v>0</v>
      </c>
    </row>
    <row r="147" spans="1:10" x14ac:dyDescent="0.25">
      <c r="A147" s="104">
        <v>44610</v>
      </c>
      <c r="B147" s="5" t="s">
        <v>25</v>
      </c>
      <c r="C147" s="5">
        <v>23</v>
      </c>
      <c r="D147" s="5" t="s">
        <v>218</v>
      </c>
      <c r="E147" s="5">
        <v>12</v>
      </c>
      <c r="F147" s="5">
        <v>17</v>
      </c>
      <c r="G147" s="5">
        <v>25</v>
      </c>
      <c r="H147" s="108">
        <f t="shared" si="4"/>
        <v>5</v>
      </c>
      <c r="I147" s="5"/>
      <c r="J147" s="108">
        <f t="shared" si="5"/>
        <v>0</v>
      </c>
    </row>
    <row r="148" spans="1:10" x14ac:dyDescent="0.25">
      <c r="A148" s="104">
        <v>44610</v>
      </c>
      <c r="B148" s="5" t="s">
        <v>25</v>
      </c>
      <c r="C148" s="5">
        <v>23</v>
      </c>
      <c r="D148" s="5" t="s">
        <v>220</v>
      </c>
      <c r="E148" s="5">
        <v>45</v>
      </c>
      <c r="F148" s="5">
        <v>60</v>
      </c>
      <c r="G148" s="5">
        <v>70</v>
      </c>
      <c r="H148" s="108">
        <f t="shared" si="4"/>
        <v>15</v>
      </c>
      <c r="I148" s="5"/>
      <c r="J148" s="108">
        <f t="shared" si="5"/>
        <v>0</v>
      </c>
    </row>
    <row r="149" spans="1:10" x14ac:dyDescent="0.25">
      <c r="A149" s="104">
        <v>44610</v>
      </c>
      <c r="B149" s="5" t="s">
        <v>25</v>
      </c>
      <c r="C149" s="5">
        <v>23</v>
      </c>
      <c r="D149" s="5" t="s">
        <v>222</v>
      </c>
      <c r="E149" s="5">
        <v>45</v>
      </c>
      <c r="F149" s="5">
        <v>60</v>
      </c>
      <c r="G149" s="5">
        <v>70</v>
      </c>
      <c r="H149" s="108">
        <f t="shared" si="4"/>
        <v>15</v>
      </c>
      <c r="I149" s="5"/>
      <c r="J149" s="108">
        <f t="shared" si="5"/>
        <v>0</v>
      </c>
    </row>
    <row r="150" spans="1:10" x14ac:dyDescent="0.25">
      <c r="A150" s="104">
        <v>44610</v>
      </c>
      <c r="B150" s="5" t="s">
        <v>25</v>
      </c>
      <c r="C150" s="5">
        <v>23</v>
      </c>
      <c r="D150" s="5" t="s">
        <v>224</v>
      </c>
      <c r="E150" s="5">
        <v>70</v>
      </c>
      <c r="F150" s="5">
        <v>80</v>
      </c>
      <c r="G150" s="5">
        <v>89</v>
      </c>
      <c r="H150" s="108">
        <f t="shared" si="4"/>
        <v>10</v>
      </c>
      <c r="I150" s="5"/>
      <c r="J150" s="108">
        <f t="shared" si="5"/>
        <v>0</v>
      </c>
    </row>
    <row r="151" spans="1:10" x14ac:dyDescent="0.25">
      <c r="A151" s="104">
        <v>44610</v>
      </c>
      <c r="B151" s="5" t="s">
        <v>25</v>
      </c>
      <c r="C151" s="5">
        <v>23</v>
      </c>
      <c r="D151" s="5" t="s">
        <v>226</v>
      </c>
      <c r="E151" s="5">
        <v>83</v>
      </c>
      <c r="F151" s="5">
        <v>94</v>
      </c>
      <c r="G151" s="5">
        <v>105</v>
      </c>
      <c r="H151" s="108">
        <f t="shared" si="4"/>
        <v>11</v>
      </c>
      <c r="I151" s="5"/>
      <c r="J151" s="108">
        <f t="shared" si="5"/>
        <v>0</v>
      </c>
    </row>
    <row r="152" spans="1:10" x14ac:dyDescent="0.25">
      <c r="A152" s="104">
        <v>44610</v>
      </c>
      <c r="B152" s="5" t="s">
        <v>23</v>
      </c>
      <c r="C152" s="5">
        <v>49</v>
      </c>
      <c r="D152" s="5" t="s">
        <v>218</v>
      </c>
      <c r="E152" s="5">
        <v>12</v>
      </c>
      <c r="F152" s="5">
        <v>17</v>
      </c>
      <c r="G152" s="5">
        <v>25</v>
      </c>
      <c r="H152" s="108">
        <f t="shared" si="4"/>
        <v>5</v>
      </c>
      <c r="I152" s="5"/>
      <c r="J152" s="108">
        <f t="shared" si="5"/>
        <v>0</v>
      </c>
    </row>
    <row r="153" spans="1:10" x14ac:dyDescent="0.25">
      <c r="A153" s="104">
        <v>44610</v>
      </c>
      <c r="B153" s="5" t="s">
        <v>23</v>
      </c>
      <c r="C153" s="5">
        <v>49</v>
      </c>
      <c r="D153" s="5" t="s">
        <v>220</v>
      </c>
      <c r="E153" s="5">
        <v>45</v>
      </c>
      <c r="F153" s="5">
        <v>60</v>
      </c>
      <c r="G153" s="5">
        <v>70</v>
      </c>
      <c r="H153" s="108">
        <f t="shared" si="4"/>
        <v>15</v>
      </c>
      <c r="I153" s="5"/>
      <c r="J153" s="108">
        <f t="shared" si="5"/>
        <v>0</v>
      </c>
    </row>
    <row r="154" spans="1:10" x14ac:dyDescent="0.25">
      <c r="A154" s="104">
        <v>44610</v>
      </c>
      <c r="B154" s="5" t="s">
        <v>23</v>
      </c>
      <c r="C154" s="5">
        <v>49</v>
      </c>
      <c r="D154" s="5" t="s">
        <v>222</v>
      </c>
      <c r="E154" s="5">
        <v>45</v>
      </c>
      <c r="F154" s="5">
        <v>60</v>
      </c>
      <c r="G154" s="5">
        <v>70</v>
      </c>
      <c r="H154" s="108">
        <f t="shared" si="4"/>
        <v>15</v>
      </c>
      <c r="I154" s="5">
        <v>2</v>
      </c>
      <c r="J154" s="108">
        <f t="shared" si="5"/>
        <v>120</v>
      </c>
    </row>
    <row r="155" spans="1:10" x14ac:dyDescent="0.25">
      <c r="A155" s="104">
        <v>44610</v>
      </c>
      <c r="B155" s="5" t="s">
        <v>23</v>
      </c>
      <c r="C155" s="5">
        <v>49</v>
      </c>
      <c r="D155" s="5" t="s">
        <v>224</v>
      </c>
      <c r="E155" s="5">
        <v>70</v>
      </c>
      <c r="F155" s="5">
        <v>80</v>
      </c>
      <c r="G155" s="5">
        <v>89</v>
      </c>
      <c r="H155" s="108">
        <f t="shared" si="4"/>
        <v>10</v>
      </c>
      <c r="I155" s="5"/>
      <c r="J155" s="108">
        <f t="shared" si="5"/>
        <v>0</v>
      </c>
    </row>
    <row r="156" spans="1:10" x14ac:dyDescent="0.25">
      <c r="A156" s="104">
        <v>44610</v>
      </c>
      <c r="B156" s="5" t="s">
        <v>23</v>
      </c>
      <c r="C156" s="5">
        <v>49</v>
      </c>
      <c r="D156" s="5" t="s">
        <v>226</v>
      </c>
      <c r="E156" s="5">
        <v>83</v>
      </c>
      <c r="F156" s="5">
        <v>94</v>
      </c>
      <c r="G156" s="5">
        <v>105</v>
      </c>
      <c r="H156" s="108">
        <f t="shared" si="4"/>
        <v>11</v>
      </c>
      <c r="I156" s="5"/>
      <c r="J156" s="108">
        <f t="shared" si="5"/>
        <v>0</v>
      </c>
    </row>
    <row r="157" spans="1:10" x14ac:dyDescent="0.25">
      <c r="A157" s="104">
        <v>44610</v>
      </c>
      <c r="B157" s="5" t="s">
        <v>31</v>
      </c>
      <c r="C157" s="5">
        <v>34</v>
      </c>
      <c r="D157" s="5" t="s">
        <v>218</v>
      </c>
      <c r="E157" s="5">
        <v>12</v>
      </c>
      <c r="F157" s="5">
        <v>17</v>
      </c>
      <c r="G157" s="5">
        <v>25</v>
      </c>
      <c r="H157" s="108">
        <f t="shared" si="4"/>
        <v>5</v>
      </c>
      <c r="I157" s="5"/>
      <c r="J157" s="108">
        <f t="shared" si="5"/>
        <v>0</v>
      </c>
    </row>
    <row r="158" spans="1:10" x14ac:dyDescent="0.25">
      <c r="A158" s="104">
        <v>44610</v>
      </c>
      <c r="B158" s="5" t="s">
        <v>31</v>
      </c>
      <c r="C158" s="5">
        <v>34</v>
      </c>
      <c r="D158" s="5" t="s">
        <v>220</v>
      </c>
      <c r="E158" s="5">
        <v>45</v>
      </c>
      <c r="F158" s="5">
        <v>60</v>
      </c>
      <c r="G158" s="5">
        <v>70</v>
      </c>
      <c r="H158" s="108">
        <f t="shared" si="4"/>
        <v>15</v>
      </c>
      <c r="I158" s="5"/>
      <c r="J158" s="108">
        <f t="shared" si="5"/>
        <v>0</v>
      </c>
    </row>
    <row r="159" spans="1:10" x14ac:dyDescent="0.25">
      <c r="A159" s="104">
        <v>44610</v>
      </c>
      <c r="B159" s="5" t="s">
        <v>31</v>
      </c>
      <c r="C159" s="5">
        <v>34</v>
      </c>
      <c r="D159" s="5" t="s">
        <v>222</v>
      </c>
      <c r="E159" s="5">
        <v>45</v>
      </c>
      <c r="F159" s="5">
        <v>60</v>
      </c>
      <c r="G159" s="5">
        <v>70</v>
      </c>
      <c r="H159" s="108">
        <f t="shared" si="4"/>
        <v>15</v>
      </c>
      <c r="I159" s="5"/>
      <c r="J159" s="108">
        <f t="shared" si="5"/>
        <v>0</v>
      </c>
    </row>
    <row r="160" spans="1:10" x14ac:dyDescent="0.25">
      <c r="A160" s="104">
        <v>44610</v>
      </c>
      <c r="B160" s="5" t="s">
        <v>31</v>
      </c>
      <c r="C160" s="5">
        <v>34</v>
      </c>
      <c r="D160" s="5" t="s">
        <v>224</v>
      </c>
      <c r="E160" s="5">
        <v>70</v>
      </c>
      <c r="F160" s="5">
        <v>80</v>
      </c>
      <c r="G160" s="5">
        <v>89</v>
      </c>
      <c r="H160" s="108">
        <f t="shared" si="4"/>
        <v>10</v>
      </c>
      <c r="I160" s="5"/>
      <c r="J160" s="108">
        <f t="shared" si="5"/>
        <v>0</v>
      </c>
    </row>
    <row r="161" spans="1:10" x14ac:dyDescent="0.25">
      <c r="A161" s="104">
        <v>44610</v>
      </c>
      <c r="B161" s="5" t="s">
        <v>31</v>
      </c>
      <c r="C161" s="5">
        <v>34</v>
      </c>
      <c r="D161" s="5" t="s">
        <v>226</v>
      </c>
      <c r="E161" s="5">
        <v>83</v>
      </c>
      <c r="F161" s="5">
        <v>94</v>
      </c>
      <c r="G161" s="5">
        <v>105</v>
      </c>
      <c r="H161" s="108">
        <f t="shared" si="4"/>
        <v>11</v>
      </c>
      <c r="I161" s="5"/>
      <c r="J161" s="108">
        <f t="shared" si="5"/>
        <v>0</v>
      </c>
    </row>
    <row r="162" spans="1:10" x14ac:dyDescent="0.25">
      <c r="A162" s="104">
        <v>44610</v>
      </c>
      <c r="B162" s="5" t="s">
        <v>20</v>
      </c>
      <c r="C162" s="5">
        <v>107</v>
      </c>
      <c r="D162" s="5" t="s">
        <v>218</v>
      </c>
      <c r="E162" s="5">
        <v>12</v>
      </c>
      <c r="F162" s="5">
        <v>17</v>
      </c>
      <c r="G162" s="5">
        <v>25</v>
      </c>
      <c r="H162" s="108">
        <f t="shared" si="4"/>
        <v>5</v>
      </c>
      <c r="I162" s="5">
        <v>10</v>
      </c>
      <c r="J162" s="108">
        <f t="shared" si="5"/>
        <v>170</v>
      </c>
    </row>
    <row r="163" spans="1:10" x14ac:dyDescent="0.25">
      <c r="A163" s="104">
        <v>44610</v>
      </c>
      <c r="B163" s="5" t="s">
        <v>20</v>
      </c>
      <c r="C163" s="5">
        <v>107</v>
      </c>
      <c r="D163" s="5" t="s">
        <v>220</v>
      </c>
      <c r="E163" s="5">
        <v>45</v>
      </c>
      <c r="F163" s="5">
        <v>60</v>
      </c>
      <c r="G163" s="5">
        <v>70</v>
      </c>
      <c r="H163" s="108">
        <f t="shared" si="4"/>
        <v>15</v>
      </c>
      <c r="I163" s="5"/>
      <c r="J163" s="108">
        <f t="shared" si="5"/>
        <v>0</v>
      </c>
    </row>
    <row r="164" spans="1:10" x14ac:dyDescent="0.25">
      <c r="A164" s="104">
        <v>44610</v>
      </c>
      <c r="B164" s="5" t="s">
        <v>20</v>
      </c>
      <c r="C164" s="5">
        <v>107</v>
      </c>
      <c r="D164" s="5" t="s">
        <v>222</v>
      </c>
      <c r="E164" s="5">
        <v>45</v>
      </c>
      <c r="F164" s="5">
        <v>60</v>
      </c>
      <c r="G164" s="5">
        <v>70</v>
      </c>
      <c r="H164" s="108">
        <f t="shared" si="4"/>
        <v>15</v>
      </c>
      <c r="I164" s="5"/>
      <c r="J164" s="108">
        <f t="shared" si="5"/>
        <v>0</v>
      </c>
    </row>
    <row r="165" spans="1:10" x14ac:dyDescent="0.25">
      <c r="A165" s="104">
        <v>44610</v>
      </c>
      <c r="B165" s="5" t="s">
        <v>20</v>
      </c>
      <c r="C165" s="5">
        <v>107</v>
      </c>
      <c r="D165" s="5" t="s">
        <v>224</v>
      </c>
      <c r="E165" s="5">
        <v>70</v>
      </c>
      <c r="F165" s="5">
        <v>80</v>
      </c>
      <c r="G165" s="5">
        <v>89</v>
      </c>
      <c r="H165" s="108">
        <f t="shared" si="4"/>
        <v>10</v>
      </c>
      <c r="I165" s="5"/>
      <c r="J165" s="108">
        <f t="shared" si="5"/>
        <v>0</v>
      </c>
    </row>
    <row r="166" spans="1:10" x14ac:dyDescent="0.25">
      <c r="A166" s="104">
        <v>44610</v>
      </c>
      <c r="B166" s="5" t="s">
        <v>20</v>
      </c>
      <c r="C166" s="5">
        <v>107</v>
      </c>
      <c r="D166" s="5" t="s">
        <v>226</v>
      </c>
      <c r="E166" s="5">
        <v>83</v>
      </c>
      <c r="F166" s="5">
        <v>94</v>
      </c>
      <c r="G166" s="5">
        <v>105</v>
      </c>
      <c r="H166" s="108">
        <f t="shared" si="4"/>
        <v>11</v>
      </c>
      <c r="I166" s="5"/>
      <c r="J166" s="108">
        <f t="shared" si="5"/>
        <v>0</v>
      </c>
    </row>
    <row r="167" spans="1:10" x14ac:dyDescent="0.25">
      <c r="A167" s="104">
        <v>44610</v>
      </c>
      <c r="B167" s="5" t="s">
        <v>24</v>
      </c>
      <c r="C167" s="5">
        <v>21</v>
      </c>
      <c r="D167" s="5" t="s">
        <v>218</v>
      </c>
      <c r="E167" s="5">
        <v>12</v>
      </c>
      <c r="F167" s="5">
        <v>17</v>
      </c>
      <c r="G167" s="5">
        <v>25</v>
      </c>
      <c r="H167" s="108">
        <f t="shared" si="4"/>
        <v>5</v>
      </c>
      <c r="I167" s="5"/>
      <c r="J167" s="108">
        <f t="shared" si="5"/>
        <v>0</v>
      </c>
    </row>
    <row r="168" spans="1:10" x14ac:dyDescent="0.25">
      <c r="A168" s="104">
        <v>44610</v>
      </c>
      <c r="B168" s="5" t="s">
        <v>24</v>
      </c>
      <c r="C168" s="5">
        <v>21</v>
      </c>
      <c r="D168" s="5" t="s">
        <v>220</v>
      </c>
      <c r="E168" s="5">
        <v>45</v>
      </c>
      <c r="F168" s="5">
        <v>60</v>
      </c>
      <c r="G168" s="5">
        <v>70</v>
      </c>
      <c r="H168" s="108">
        <f t="shared" si="4"/>
        <v>15</v>
      </c>
      <c r="I168" s="5"/>
      <c r="J168" s="108">
        <f t="shared" si="5"/>
        <v>0</v>
      </c>
    </row>
    <row r="169" spans="1:10" x14ac:dyDescent="0.25">
      <c r="A169" s="104">
        <v>44610</v>
      </c>
      <c r="B169" s="5" t="s">
        <v>24</v>
      </c>
      <c r="C169" s="5">
        <v>21</v>
      </c>
      <c r="D169" s="5" t="s">
        <v>222</v>
      </c>
      <c r="E169" s="5">
        <v>45</v>
      </c>
      <c r="F169" s="5">
        <v>60</v>
      </c>
      <c r="G169" s="5">
        <v>70</v>
      </c>
      <c r="H169" s="108">
        <f t="shared" si="4"/>
        <v>15</v>
      </c>
      <c r="I169" s="5"/>
      <c r="J169" s="108">
        <f t="shared" si="5"/>
        <v>0</v>
      </c>
    </row>
    <row r="170" spans="1:10" x14ac:dyDescent="0.25">
      <c r="A170" s="104">
        <v>44610</v>
      </c>
      <c r="B170" s="5" t="s">
        <v>24</v>
      </c>
      <c r="C170" s="5">
        <v>21</v>
      </c>
      <c r="D170" s="5" t="s">
        <v>224</v>
      </c>
      <c r="E170" s="5">
        <v>70</v>
      </c>
      <c r="F170" s="5">
        <v>80</v>
      </c>
      <c r="G170" s="5">
        <v>89</v>
      </c>
      <c r="H170" s="108">
        <f t="shared" si="4"/>
        <v>10</v>
      </c>
      <c r="I170" s="5"/>
      <c r="J170" s="108">
        <f t="shared" si="5"/>
        <v>0</v>
      </c>
    </row>
    <row r="171" spans="1:10" x14ac:dyDescent="0.25">
      <c r="A171" s="104">
        <v>44610</v>
      </c>
      <c r="B171" s="5" t="s">
        <v>24</v>
      </c>
      <c r="C171" s="5">
        <v>21</v>
      </c>
      <c r="D171" s="5" t="s">
        <v>226</v>
      </c>
      <c r="E171" s="5">
        <v>83</v>
      </c>
      <c r="F171" s="5">
        <v>94</v>
      </c>
      <c r="G171" s="5">
        <v>105</v>
      </c>
      <c r="H171" s="108">
        <f t="shared" si="4"/>
        <v>11</v>
      </c>
      <c r="I171" s="5"/>
      <c r="J171" s="108">
        <f t="shared" si="5"/>
        <v>0</v>
      </c>
    </row>
    <row r="172" spans="1:10" x14ac:dyDescent="0.25">
      <c r="A172" s="104">
        <v>44610</v>
      </c>
      <c r="B172" s="5" t="s">
        <v>26</v>
      </c>
      <c r="C172" s="5">
        <v>18</v>
      </c>
      <c r="D172" s="5" t="s">
        <v>218</v>
      </c>
      <c r="E172" s="5">
        <v>12</v>
      </c>
      <c r="F172" s="5">
        <v>17</v>
      </c>
      <c r="G172" s="5">
        <v>25</v>
      </c>
      <c r="H172" s="108">
        <f t="shared" si="4"/>
        <v>5</v>
      </c>
      <c r="I172" s="5"/>
      <c r="J172" s="108">
        <f t="shared" si="5"/>
        <v>0</v>
      </c>
    </row>
    <row r="173" spans="1:10" x14ac:dyDescent="0.25">
      <c r="A173" s="104">
        <v>44610</v>
      </c>
      <c r="B173" s="5" t="s">
        <v>26</v>
      </c>
      <c r="C173" s="5">
        <v>18</v>
      </c>
      <c r="D173" s="5" t="s">
        <v>220</v>
      </c>
      <c r="E173" s="5">
        <v>45</v>
      </c>
      <c r="F173" s="5">
        <v>60</v>
      </c>
      <c r="G173" s="5">
        <v>70</v>
      </c>
      <c r="H173" s="108">
        <f t="shared" si="4"/>
        <v>15</v>
      </c>
      <c r="I173" s="5"/>
      <c r="J173" s="108">
        <f t="shared" si="5"/>
        <v>0</v>
      </c>
    </row>
    <row r="174" spans="1:10" x14ac:dyDescent="0.25">
      <c r="A174" s="104">
        <v>44610</v>
      </c>
      <c r="B174" s="5" t="s">
        <v>26</v>
      </c>
      <c r="C174" s="5">
        <v>18</v>
      </c>
      <c r="D174" s="5" t="s">
        <v>222</v>
      </c>
      <c r="E174" s="5">
        <v>45</v>
      </c>
      <c r="F174" s="5">
        <v>60</v>
      </c>
      <c r="G174" s="5">
        <v>70</v>
      </c>
      <c r="H174" s="108">
        <f t="shared" si="4"/>
        <v>15</v>
      </c>
      <c r="I174" s="5"/>
      <c r="J174" s="108">
        <f t="shared" si="5"/>
        <v>0</v>
      </c>
    </row>
    <row r="175" spans="1:10" x14ac:dyDescent="0.25">
      <c r="A175" s="104">
        <v>44610</v>
      </c>
      <c r="B175" s="5" t="s">
        <v>26</v>
      </c>
      <c r="C175" s="5">
        <v>18</v>
      </c>
      <c r="D175" s="5" t="s">
        <v>224</v>
      </c>
      <c r="E175" s="5">
        <v>70</v>
      </c>
      <c r="F175" s="5">
        <v>80</v>
      </c>
      <c r="G175" s="5">
        <v>89</v>
      </c>
      <c r="H175" s="108">
        <f t="shared" si="4"/>
        <v>10</v>
      </c>
      <c r="I175" s="5"/>
      <c r="J175" s="108">
        <f t="shared" si="5"/>
        <v>0</v>
      </c>
    </row>
    <row r="176" spans="1:10" x14ac:dyDescent="0.25">
      <c r="A176" s="104">
        <v>44610</v>
      </c>
      <c r="B176" s="5" t="s">
        <v>26</v>
      </c>
      <c r="C176" s="5">
        <v>18</v>
      </c>
      <c r="D176" s="5" t="s">
        <v>226</v>
      </c>
      <c r="E176" s="5">
        <v>83</v>
      </c>
      <c r="F176" s="5">
        <v>94</v>
      </c>
      <c r="G176" s="5">
        <v>105</v>
      </c>
      <c r="H176" s="108">
        <f t="shared" si="4"/>
        <v>11</v>
      </c>
      <c r="I176" s="5"/>
      <c r="J176" s="108">
        <f t="shared" si="5"/>
        <v>0</v>
      </c>
    </row>
    <row r="177" spans="1:10" x14ac:dyDescent="0.25">
      <c r="A177" s="104">
        <v>44610</v>
      </c>
      <c r="B177" s="5" t="s">
        <v>89</v>
      </c>
      <c r="C177" s="5">
        <v>32</v>
      </c>
      <c r="D177" s="5" t="s">
        <v>218</v>
      </c>
      <c r="E177" s="5">
        <v>12</v>
      </c>
      <c r="F177" s="5">
        <v>17</v>
      </c>
      <c r="G177" s="5">
        <v>25</v>
      </c>
      <c r="H177" s="108">
        <f t="shared" si="4"/>
        <v>5</v>
      </c>
      <c r="I177" s="5">
        <v>10</v>
      </c>
      <c r="J177" s="108">
        <f t="shared" si="5"/>
        <v>170</v>
      </c>
    </row>
    <row r="178" spans="1:10" x14ac:dyDescent="0.25">
      <c r="A178" s="104">
        <v>44610</v>
      </c>
      <c r="B178" s="5" t="s">
        <v>89</v>
      </c>
      <c r="C178" s="5">
        <v>32</v>
      </c>
      <c r="D178" s="5" t="s">
        <v>220</v>
      </c>
      <c r="E178" s="5">
        <v>45</v>
      </c>
      <c r="F178" s="5">
        <v>60</v>
      </c>
      <c r="G178" s="5">
        <v>70</v>
      </c>
      <c r="H178" s="108">
        <f t="shared" si="4"/>
        <v>15</v>
      </c>
      <c r="I178" s="5">
        <v>5</v>
      </c>
      <c r="J178" s="108">
        <f t="shared" si="5"/>
        <v>300</v>
      </c>
    </row>
    <row r="179" spans="1:10" x14ac:dyDescent="0.25">
      <c r="A179" s="104">
        <v>44610</v>
      </c>
      <c r="B179" s="5" t="s">
        <v>89</v>
      </c>
      <c r="C179" s="5">
        <v>32</v>
      </c>
      <c r="D179" s="5" t="s">
        <v>222</v>
      </c>
      <c r="E179" s="5">
        <v>45</v>
      </c>
      <c r="F179" s="5">
        <v>60</v>
      </c>
      <c r="G179" s="5">
        <v>70</v>
      </c>
      <c r="H179" s="108">
        <f t="shared" si="4"/>
        <v>15</v>
      </c>
      <c r="I179" s="5">
        <v>4</v>
      </c>
      <c r="J179" s="108">
        <f t="shared" si="5"/>
        <v>240</v>
      </c>
    </row>
    <row r="180" spans="1:10" x14ac:dyDescent="0.25">
      <c r="A180" s="104">
        <v>44610</v>
      </c>
      <c r="B180" s="5" t="s">
        <v>89</v>
      </c>
      <c r="C180" s="5">
        <v>32</v>
      </c>
      <c r="D180" s="5" t="s">
        <v>224</v>
      </c>
      <c r="E180" s="5">
        <v>70</v>
      </c>
      <c r="F180" s="5">
        <v>80</v>
      </c>
      <c r="G180" s="5">
        <v>89</v>
      </c>
      <c r="H180" s="108">
        <f t="shared" si="4"/>
        <v>10</v>
      </c>
      <c r="I180" s="5">
        <v>5</v>
      </c>
      <c r="J180" s="108">
        <f t="shared" si="5"/>
        <v>400</v>
      </c>
    </row>
    <row r="181" spans="1:10" x14ac:dyDescent="0.25">
      <c r="A181" s="104">
        <v>44610</v>
      </c>
      <c r="B181" s="5" t="s">
        <v>89</v>
      </c>
      <c r="C181" s="5">
        <v>32</v>
      </c>
      <c r="D181" s="5" t="s">
        <v>226</v>
      </c>
      <c r="E181" s="5">
        <v>83</v>
      </c>
      <c r="F181" s="5">
        <v>94</v>
      </c>
      <c r="G181" s="5">
        <v>105</v>
      </c>
      <c r="H181" s="108">
        <f t="shared" si="4"/>
        <v>11</v>
      </c>
      <c r="I181" s="5">
        <v>6</v>
      </c>
      <c r="J181" s="108">
        <f t="shared" si="5"/>
        <v>564</v>
      </c>
    </row>
  </sheetData>
  <autoFilter ref="A1:J1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12月-銷售額&amp;利潤</vt:lpstr>
      <vt:lpstr>1222-加盟店人數&amp;銷售額關係</vt:lpstr>
      <vt:lpstr>2月-電商每周銷售額&amp;利潤</vt:lpstr>
      <vt:lpstr>12月-加盟店每周統計</vt:lpstr>
      <vt:lpstr>12月-商品庫存數量&amp;金額</vt:lpstr>
      <vt:lpstr>12月-Line社群人數統計</vt:lpstr>
      <vt:lpstr>1227_store_information</vt:lpstr>
      <vt:lpstr>1222-明星&amp;低銷商品(1)</vt:lpstr>
      <vt:lpstr>1227_product_sales</vt:lpstr>
      <vt:lpstr>product_information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tomato-2012-11-2</dc:creator>
  <cp:lastModifiedBy>tomato-2012-11-2</cp:lastModifiedBy>
  <cp:lastPrinted>2021-12-27T02:39:08Z</cp:lastPrinted>
  <dcterms:created xsi:type="dcterms:W3CDTF">2021-12-08T05:23:12Z</dcterms:created>
  <dcterms:modified xsi:type="dcterms:W3CDTF">2022-02-21T00:48:37Z</dcterms:modified>
</cp:coreProperties>
</file>