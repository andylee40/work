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3715" windowHeight="9810" activeTab="1"/>
  </bookViews>
  <sheets>
    <sheet name="2022-2月商品期程" sheetId="1" r:id="rId1"/>
    <sheet name="工作表2" sheetId="2" r:id="rId2"/>
  </sheets>
  <calcPr calcId="145621"/>
</workbook>
</file>

<file path=xl/calcChain.xml><?xml version="1.0" encoding="utf-8"?>
<calcChain xmlns="http://schemas.openxmlformats.org/spreadsheetml/2006/main">
  <c r="M53" i="1" l="1"/>
  <c r="O53" i="1" s="1"/>
  <c r="M52" i="1"/>
  <c r="O52" i="1" s="1"/>
  <c r="M51" i="1"/>
  <c r="O51" i="1" s="1"/>
  <c r="M50" i="1"/>
  <c r="O50" i="1" s="1"/>
  <c r="M49" i="1"/>
  <c r="O49" i="1" s="1"/>
  <c r="L45" i="1"/>
  <c r="O44" i="1"/>
  <c r="M44" i="1"/>
  <c r="O43" i="1"/>
  <c r="M43" i="1"/>
  <c r="O42" i="1"/>
  <c r="M42" i="1"/>
  <c r="O41" i="1"/>
  <c r="M41" i="1"/>
  <c r="O40" i="1"/>
  <c r="M40" i="1"/>
  <c r="O39" i="1"/>
  <c r="M39" i="1"/>
  <c r="O38" i="1"/>
  <c r="M38" i="1"/>
  <c r="O37" i="1"/>
  <c r="M37" i="1"/>
  <c r="M36" i="1"/>
  <c r="O36" i="1" s="1"/>
  <c r="O35" i="1"/>
  <c r="M35" i="1"/>
  <c r="M34" i="1"/>
  <c r="O34" i="1" s="1"/>
  <c r="M33" i="1"/>
  <c r="O33" i="1" s="1"/>
  <c r="M32" i="1"/>
  <c r="O32" i="1" s="1"/>
  <c r="M31" i="1"/>
  <c r="O31" i="1" s="1"/>
  <c r="M30" i="1"/>
  <c r="O30" i="1" s="1"/>
  <c r="M29" i="1"/>
  <c r="O29" i="1" s="1"/>
  <c r="M28" i="1"/>
  <c r="O28" i="1" s="1"/>
  <c r="M27" i="1"/>
  <c r="O27" i="1" s="1"/>
  <c r="M26" i="1"/>
  <c r="O26" i="1" s="1"/>
  <c r="M25" i="1"/>
  <c r="O25" i="1" s="1"/>
  <c r="M24" i="1"/>
  <c r="O24" i="1" s="1"/>
  <c r="M23" i="1"/>
  <c r="O23" i="1" s="1"/>
  <c r="M22" i="1"/>
  <c r="O22" i="1" s="1"/>
  <c r="M21" i="1"/>
  <c r="O21" i="1" s="1"/>
  <c r="M20" i="1"/>
  <c r="O20" i="1" s="1"/>
  <c r="M19" i="1"/>
  <c r="O19" i="1" s="1"/>
  <c r="M18" i="1"/>
  <c r="O18" i="1" s="1"/>
  <c r="M17" i="1"/>
  <c r="O17" i="1" s="1"/>
  <c r="M16" i="1"/>
  <c r="O16" i="1" s="1"/>
  <c r="M15" i="1"/>
  <c r="O15" i="1" s="1"/>
  <c r="M14" i="1"/>
  <c r="O14" i="1" s="1"/>
  <c r="M13" i="1"/>
  <c r="O13" i="1" s="1"/>
  <c r="M12" i="1"/>
  <c r="O12" i="1" s="1"/>
  <c r="M11" i="1"/>
  <c r="O11" i="1" s="1"/>
  <c r="M10" i="1"/>
  <c r="O10" i="1" s="1"/>
  <c r="M9" i="1"/>
  <c r="O9" i="1" s="1"/>
  <c r="M8" i="1"/>
  <c r="O8" i="1" s="1"/>
  <c r="M7" i="1"/>
  <c r="O7" i="1" s="1"/>
  <c r="M6" i="1"/>
  <c r="O6" i="1" s="1"/>
  <c r="M5" i="1"/>
  <c r="O5" i="1" s="1"/>
  <c r="M4" i="1"/>
  <c r="O4" i="1" s="1"/>
  <c r="M3" i="1"/>
  <c r="O3" i="1" s="1"/>
  <c r="M2" i="1"/>
  <c r="O2" i="1" s="1"/>
</calcChain>
</file>

<file path=xl/sharedStrings.xml><?xml version="1.0" encoding="utf-8"?>
<sst xmlns="http://schemas.openxmlformats.org/spreadsheetml/2006/main" count="375" uniqueCount="205">
  <si>
    <t>節慶</t>
    <phoneticPr fontId="2" type="noConversion"/>
  </si>
  <si>
    <t>日期</t>
    <phoneticPr fontId="2" type="noConversion"/>
  </si>
  <si>
    <t>廠商</t>
    <phoneticPr fontId="2" type="noConversion"/>
  </si>
  <si>
    <t>品牌/品項</t>
    <phoneticPr fontId="2" type="noConversion"/>
  </si>
  <si>
    <t>規格</t>
    <phoneticPr fontId="2" type="noConversion"/>
  </si>
  <si>
    <t>廠商報價(含稅)</t>
    <phoneticPr fontId="2" type="noConversion"/>
  </si>
  <si>
    <t>進貨
基本量/箱</t>
    <phoneticPr fontId="2" type="noConversion"/>
  </si>
  <si>
    <t>庫存金額</t>
    <phoneticPr fontId="2" type="noConversion"/>
  </si>
  <si>
    <t>蝦皮</t>
    <phoneticPr fontId="2" type="noConversion"/>
  </si>
  <si>
    <t>其他電商</t>
    <phoneticPr fontId="2" type="noConversion"/>
  </si>
  <si>
    <t>公司毛利</t>
    <phoneticPr fontId="2" type="noConversion"/>
  </si>
  <si>
    <t>加盟店進價</t>
    <phoneticPr fontId="2" type="noConversion"/>
  </si>
  <si>
    <t>加盟店毛利</t>
    <phoneticPr fontId="2" type="noConversion"/>
  </si>
  <si>
    <t>末端售價</t>
    <phoneticPr fontId="2" type="noConversion"/>
  </si>
  <si>
    <t>建議售價</t>
    <phoneticPr fontId="2" type="noConversion"/>
  </si>
  <si>
    <t>店長利潤</t>
    <phoneticPr fontId="2" type="noConversion"/>
  </si>
  <si>
    <t>第一周</t>
    <phoneticPr fontId="2" type="noConversion"/>
  </si>
  <si>
    <t>12月熱銷品</t>
    <phoneticPr fontId="2" type="noConversion"/>
  </si>
  <si>
    <t>2/07(一)~2/11(五)</t>
    <phoneticPr fontId="2" type="noConversion"/>
  </si>
  <si>
    <t>滬尾</t>
    <phoneticPr fontId="2" type="noConversion"/>
  </si>
  <si>
    <t>滷味-毛豆</t>
    <phoneticPr fontId="2" type="noConversion"/>
  </si>
  <si>
    <t>200g/包</t>
    <phoneticPr fontId="2" type="noConversion"/>
  </si>
  <si>
    <t>30/包</t>
    <phoneticPr fontId="2" type="noConversion"/>
  </si>
  <si>
    <t>1包</t>
    <phoneticPr fontId="2" type="noConversion"/>
  </si>
  <si>
    <t>x</t>
    <phoneticPr fontId="2" type="noConversion"/>
  </si>
  <si>
    <t>滷味-豬耳朵</t>
    <phoneticPr fontId="2" type="noConversion"/>
  </si>
  <si>
    <t>100g/包</t>
    <phoneticPr fontId="2" type="noConversion"/>
  </si>
  <si>
    <t>34/包</t>
    <phoneticPr fontId="2" type="noConversion"/>
  </si>
  <si>
    <t>金品</t>
    <phoneticPr fontId="2" type="noConversion"/>
  </si>
  <si>
    <t>白醬培根義大利麵</t>
  </si>
  <si>
    <t>250g/包</t>
    <phoneticPr fontId="2" type="noConversion"/>
  </si>
  <si>
    <t>26/包</t>
    <phoneticPr fontId="2" type="noConversion"/>
  </si>
  <si>
    <t>番茄肉醬義大利麵</t>
  </si>
  <si>
    <t>2/09(三)~2/14(一)</t>
    <phoneticPr fontId="2" type="noConversion"/>
  </si>
  <si>
    <t>三橋</t>
    <phoneticPr fontId="2" type="noConversion"/>
  </si>
  <si>
    <t>(火鍋)藥燉排骨</t>
    <phoneticPr fontId="2" type="noConversion"/>
  </si>
  <si>
    <t>1200g/袋</t>
    <phoneticPr fontId="2" type="noConversion"/>
  </si>
  <si>
    <t>120/袋</t>
    <phoneticPr fontId="2" type="noConversion"/>
  </si>
  <si>
    <t>1袋</t>
    <phoneticPr fontId="2" type="noConversion"/>
  </si>
  <si>
    <t>滿1500出貨</t>
    <phoneticPr fontId="2" type="noConversion"/>
  </si>
  <si>
    <t>棒小子肉乾</t>
    <phoneticPr fontId="2" type="noConversion"/>
  </si>
  <si>
    <t>200g/袋</t>
    <phoneticPr fontId="2" type="noConversion"/>
  </si>
  <si>
    <t>150/袋</t>
    <phoneticPr fontId="2" type="noConversion"/>
  </si>
  <si>
    <t>10袋</t>
    <phoneticPr fontId="2" type="noConversion"/>
  </si>
  <si>
    <t>廣宏</t>
    <phoneticPr fontId="2" type="noConversion"/>
  </si>
  <si>
    <t>千層塔塔酥餅-紅豆</t>
    <phoneticPr fontId="2" type="noConversion"/>
  </si>
  <si>
    <t>4片/包</t>
    <phoneticPr fontId="2" type="noConversion"/>
  </si>
  <si>
    <t>52/包</t>
    <phoneticPr fontId="2" type="noConversion"/>
  </si>
  <si>
    <t>千層塔塔酥餅-芋頭</t>
    <phoneticPr fontId="2" type="noConversion"/>
  </si>
  <si>
    <t>2/11(五)~2/15(二)</t>
    <phoneticPr fontId="2" type="noConversion"/>
  </si>
  <si>
    <t>東北高麗菜水餃</t>
    <phoneticPr fontId="2" type="noConversion"/>
  </si>
  <si>
    <t>55粒/包</t>
    <phoneticPr fontId="2" type="noConversion"/>
  </si>
  <si>
    <t>85/包</t>
    <phoneticPr fontId="2" type="noConversion"/>
  </si>
  <si>
    <t>東北韭菜水餃</t>
    <phoneticPr fontId="2" type="noConversion"/>
  </si>
  <si>
    <t>調理包-黑胡椒豬</t>
    <phoneticPr fontId="2" type="noConversion"/>
  </si>
  <si>
    <t>300g/包</t>
    <phoneticPr fontId="2" type="noConversion"/>
  </si>
  <si>
    <t>40/包</t>
    <phoneticPr fontId="2" type="noConversion"/>
  </si>
  <si>
    <t>調理包-三杯雞</t>
    <phoneticPr fontId="2" type="noConversion"/>
  </si>
  <si>
    <t>調理包-紅燒牛</t>
    <phoneticPr fontId="2" type="noConversion"/>
  </si>
  <si>
    <t>第二周</t>
    <phoneticPr fontId="2" type="noConversion"/>
  </si>
  <si>
    <t>情人節
(3/14前到貨)</t>
    <phoneticPr fontId="2" type="noConversion"/>
  </si>
  <si>
    <t>2/14(一)~2/18(五)</t>
    <phoneticPr fontId="2" type="noConversion"/>
  </si>
  <si>
    <t>急食鮮</t>
    <phoneticPr fontId="2" type="noConversion"/>
  </si>
  <si>
    <t xml:space="preserve">玉米濃湯 </t>
    <phoneticPr fontId="2" type="noConversion"/>
  </si>
  <si>
    <t>12/包</t>
    <phoneticPr fontId="2" type="noConversion"/>
  </si>
  <si>
    <t>海鮮焗飯</t>
  </si>
  <si>
    <t>390g/盒</t>
    <phoneticPr fontId="2" type="noConversion"/>
  </si>
  <si>
    <t>45/盒</t>
    <phoneticPr fontId="2" type="noConversion"/>
  </si>
  <si>
    <t>1盒</t>
    <phoneticPr fontId="2" type="noConversion"/>
  </si>
  <si>
    <t xml:space="preserve">咖哩焗飯 </t>
    <phoneticPr fontId="2" type="noConversion"/>
  </si>
  <si>
    <t xml:space="preserve">牛肉丸子燉飯 </t>
  </si>
  <si>
    <t>530g/包</t>
    <phoneticPr fontId="2" type="noConversion"/>
  </si>
  <si>
    <t>70/包</t>
    <phoneticPr fontId="2" type="noConversion"/>
  </si>
  <si>
    <t>青醬雞肉燉飯</t>
  </si>
  <si>
    <t>83/包</t>
    <phoneticPr fontId="2" type="noConversion"/>
  </si>
  <si>
    <t>2/16(三)~2/21(一)</t>
    <phoneticPr fontId="2" type="noConversion"/>
  </si>
  <si>
    <t>廣吉</t>
    <phoneticPr fontId="2" type="noConversion"/>
  </si>
  <si>
    <t>茶知味_紅玉拿鐵</t>
    <phoneticPr fontId="2" type="noConversion"/>
  </si>
  <si>
    <t>10包/袋</t>
    <phoneticPr fontId="2" type="noConversion"/>
  </si>
  <si>
    <t>68.25/袋</t>
    <phoneticPr fontId="2" type="noConversion"/>
  </si>
  <si>
    <t>12袋</t>
    <phoneticPr fontId="2" type="noConversion"/>
  </si>
  <si>
    <t>紫米紅豆薏仁</t>
  </si>
  <si>
    <t>6包/盒</t>
    <phoneticPr fontId="2" type="noConversion"/>
  </si>
  <si>
    <t>73.5/盒</t>
    <phoneticPr fontId="2" type="noConversion"/>
  </si>
  <si>
    <t>6盒</t>
    <phoneticPr fontId="2" type="noConversion"/>
  </si>
  <si>
    <t>英辰</t>
    <phoneticPr fontId="2" type="noConversion"/>
  </si>
  <si>
    <t>奶皇包</t>
    <phoneticPr fontId="2" type="noConversion"/>
  </si>
  <si>
    <t>12粒/包</t>
    <phoneticPr fontId="2" type="noConversion"/>
  </si>
  <si>
    <t>芋泥包</t>
    <phoneticPr fontId="2" type="noConversion"/>
  </si>
  <si>
    <t>雙色饅頭</t>
    <phoneticPr fontId="2" type="noConversion"/>
  </si>
  <si>
    <t>2/18(五)~2/22(二)</t>
    <phoneticPr fontId="2" type="noConversion"/>
  </si>
  <si>
    <t>太極石</t>
    <phoneticPr fontId="2" type="noConversion"/>
  </si>
  <si>
    <t>太極石淨白面膜</t>
  </si>
  <si>
    <t>25ML/片</t>
    <phoneticPr fontId="2" type="noConversion"/>
  </si>
  <si>
    <t>13/片</t>
    <phoneticPr fontId="2" type="noConversion"/>
  </si>
  <si>
    <t>1片</t>
    <phoneticPr fontId="2" type="noConversion"/>
  </si>
  <si>
    <t>Q18魚膠原蛋白</t>
    <phoneticPr fontId="2" type="noConversion"/>
  </si>
  <si>
    <t>200g/瓶</t>
    <phoneticPr fontId="2" type="noConversion"/>
  </si>
  <si>
    <t>336/瓶</t>
    <phoneticPr fontId="2" type="noConversion"/>
  </si>
  <si>
    <t>1瓶</t>
    <phoneticPr fontId="2" type="noConversion"/>
  </si>
  <si>
    <t>五告順晶纖凍</t>
    <phoneticPr fontId="2" type="noConversion"/>
  </si>
  <si>
    <t>10包/盒</t>
    <phoneticPr fontId="2" type="noConversion"/>
  </si>
  <si>
    <t>158/盒</t>
    <phoneticPr fontId="2" type="noConversion"/>
  </si>
  <si>
    <t>精油貼布</t>
    <phoneticPr fontId="2" type="noConversion"/>
  </si>
  <si>
    <t>7片/包</t>
    <phoneticPr fontId="2" type="noConversion"/>
  </si>
  <si>
    <t>59/包</t>
    <phoneticPr fontId="2" type="noConversion"/>
  </si>
  <si>
    <t>太極石馬油滋養霜</t>
  </si>
  <si>
    <t>70ml/瓶</t>
    <phoneticPr fontId="2" type="noConversion"/>
  </si>
  <si>
    <t>85/瓶</t>
    <phoneticPr fontId="2" type="noConversion"/>
  </si>
  <si>
    <t>第三周</t>
    <phoneticPr fontId="2" type="noConversion"/>
  </si>
  <si>
    <t>2/21(一)~2/25(五)</t>
    <phoneticPr fontId="2" type="noConversion"/>
  </si>
  <si>
    <t>西點小舖</t>
    <phoneticPr fontId="2" type="noConversion"/>
  </si>
  <si>
    <t>手工波蘿泡芙_香草(4顆/組)</t>
    <phoneticPr fontId="2" type="noConversion"/>
  </si>
  <si>
    <t>1顆</t>
    <phoneticPr fontId="2" type="noConversion"/>
  </si>
  <si>
    <t>19/顆</t>
    <phoneticPr fontId="2" type="noConversion"/>
  </si>
  <si>
    <t>運費225</t>
    <phoneticPr fontId="2" type="noConversion"/>
  </si>
  <si>
    <t>手工菠蘿泡芙_巧克力(4顆/組)</t>
    <phoneticPr fontId="2" type="noConversion"/>
  </si>
  <si>
    <t>原味可麗露</t>
    <phoneticPr fontId="2" type="noConversion"/>
  </si>
  <si>
    <t>6顆/盒</t>
    <phoneticPr fontId="2" type="noConversion"/>
  </si>
  <si>
    <t>234/盒</t>
    <phoneticPr fontId="2" type="noConversion"/>
  </si>
  <si>
    <t>烏龍茶可麗露</t>
    <phoneticPr fontId="2" type="noConversion"/>
  </si>
  <si>
    <t>巧克力可麗露</t>
    <phoneticPr fontId="2" type="noConversion"/>
  </si>
  <si>
    <t>2/23(三)~2/28(一)</t>
    <phoneticPr fontId="2" type="noConversion"/>
  </si>
  <si>
    <t>野人舒食</t>
    <phoneticPr fontId="2" type="noConversion"/>
  </si>
  <si>
    <t>舒肥雞_和風柚香</t>
    <phoneticPr fontId="2" type="noConversion"/>
  </si>
  <si>
    <t>180g/包</t>
    <phoneticPr fontId="2" type="noConversion"/>
  </si>
  <si>
    <t>51/包</t>
    <phoneticPr fontId="2" type="noConversion"/>
  </si>
  <si>
    <t>運費160</t>
    <phoneticPr fontId="2" type="noConversion"/>
  </si>
  <si>
    <t>舒肥雞_沙漠湖鹽</t>
    <phoneticPr fontId="2" type="noConversion"/>
  </si>
  <si>
    <t>180g/包</t>
  </si>
  <si>
    <t>舒肥雞_巴蜀麻辣</t>
    <phoneticPr fontId="2" type="noConversion"/>
  </si>
  <si>
    <t>舒肥豬_依比利豬排</t>
    <phoneticPr fontId="2" type="noConversion"/>
  </si>
  <si>
    <t>150g/包</t>
    <phoneticPr fontId="2" type="noConversion"/>
  </si>
  <si>
    <t>138/包</t>
    <phoneticPr fontId="2" type="noConversion"/>
  </si>
  <si>
    <t>舒肥牛_經典原味</t>
    <phoneticPr fontId="2" type="noConversion"/>
  </si>
  <si>
    <t>170/包</t>
    <phoneticPr fontId="2" type="noConversion"/>
  </si>
  <si>
    <t>2/25(五)~3/01(二)</t>
    <phoneticPr fontId="2" type="noConversion"/>
  </si>
  <si>
    <t>滷味_雞心</t>
    <phoneticPr fontId="2" type="noConversion"/>
  </si>
  <si>
    <t>82/包</t>
    <phoneticPr fontId="2" type="noConversion"/>
  </si>
  <si>
    <t>滷味_牛腱</t>
    <phoneticPr fontId="2" type="noConversion"/>
  </si>
  <si>
    <t>滷味_牛肚</t>
    <phoneticPr fontId="2" type="noConversion"/>
  </si>
  <si>
    <t>滷味_川辣鴨胗</t>
    <phoneticPr fontId="2" type="noConversion"/>
  </si>
  <si>
    <t>55/包</t>
    <phoneticPr fontId="2" type="noConversion"/>
  </si>
  <si>
    <t>滷味_川辣鴨舌</t>
    <phoneticPr fontId="2" type="noConversion"/>
  </si>
  <si>
    <t>65/包</t>
    <phoneticPr fontId="2" type="noConversion"/>
  </si>
  <si>
    <t>2/14(一)~2/25(五)</t>
    <phoneticPr fontId="2" type="noConversion"/>
  </si>
  <si>
    <t>陸耀</t>
    <phoneticPr fontId="2" type="noConversion"/>
  </si>
  <si>
    <t>華麗伏特加酒心巧克力</t>
  </si>
  <si>
    <t>150g/盒</t>
  </si>
  <si>
    <t>149/盒</t>
    <phoneticPr fontId="2" type="noConversion"/>
  </si>
  <si>
    <t>運費70</t>
    <phoneticPr fontId="2" type="noConversion"/>
  </si>
  <si>
    <t>歐利華85%純黑巧克力薄片</t>
  </si>
  <si>
    <t>120g/盒</t>
  </si>
  <si>
    <t>歐洲假期綜合精緻巧克力禮盒</t>
  </si>
  <si>
    <t>110g/盒</t>
  </si>
  <si>
    <t>165/盒</t>
    <phoneticPr fontId="2" type="noConversion"/>
  </si>
  <si>
    <t>歐洲假期綜合夾心巧克力書本造型禮盒</t>
  </si>
  <si>
    <t>110g/盒</t>
    <phoneticPr fontId="2" type="noConversion"/>
  </si>
  <si>
    <t>義大利萊卡綜合卡通巧克力但書本造型禮盒</t>
  </si>
  <si>
    <t>118g/盒</t>
  </si>
  <si>
    <t>滷味-毛豆</t>
  </si>
  <si>
    <t>滷味-豬耳朵</t>
  </si>
  <si>
    <t>(火鍋)藥燉排骨</t>
  </si>
  <si>
    <t>棒小子肉乾</t>
  </si>
  <si>
    <t>千層塔塔酥餅-紅豆</t>
  </si>
  <si>
    <t>千層塔塔酥餅-芋頭</t>
  </si>
  <si>
    <t>東北高麗菜水餃</t>
  </si>
  <si>
    <t>東北韭菜水餃</t>
  </si>
  <si>
    <t>調理包-黑胡椒豬</t>
  </si>
  <si>
    <t>調理包-三杯雞</t>
  </si>
  <si>
    <t>調理包-紅燒牛</t>
  </si>
  <si>
    <t xml:space="preserve">玉米濃湯 </t>
  </si>
  <si>
    <t xml:space="preserve">咖哩焗飯 </t>
  </si>
  <si>
    <t>茶知味_紅玉拿鐵</t>
  </si>
  <si>
    <t>奶皇包</t>
  </si>
  <si>
    <t>芋泥包</t>
  </si>
  <si>
    <t>雙色饅頭</t>
  </si>
  <si>
    <t>Q18魚膠原蛋白</t>
  </si>
  <si>
    <t>五告順晶纖凍</t>
  </si>
  <si>
    <t>精油貼布</t>
  </si>
  <si>
    <t>手工波蘿泡芙_香草(4顆/組)</t>
  </si>
  <si>
    <t>手工菠蘿泡芙_巧克力(4顆/組)</t>
  </si>
  <si>
    <t>原味可麗露</t>
  </si>
  <si>
    <t>烏龍茶可麗露</t>
  </si>
  <si>
    <t>巧克力可麗露</t>
  </si>
  <si>
    <t>舒肥雞_和風柚香</t>
  </si>
  <si>
    <t>舒肥雞_沙漠湖鹽</t>
  </si>
  <si>
    <t>舒肥雞_巴蜀麻辣</t>
  </si>
  <si>
    <t>舒肥豬_依比利豬排</t>
  </si>
  <si>
    <t>舒肥牛_經典原味</t>
  </si>
  <si>
    <t>滷味_雞心</t>
  </si>
  <si>
    <t>滷味_牛腱</t>
  </si>
  <si>
    <t>滷味_牛肚</t>
  </si>
  <si>
    <t>滷味_川辣鴨胗</t>
  </si>
  <si>
    <t>滷味_川辣鴨舌</t>
  </si>
  <si>
    <t>item</t>
    <phoneticPr fontId="2" type="noConversion"/>
  </si>
  <si>
    <t>catogory</t>
    <phoneticPr fontId="2" type="noConversion"/>
  </si>
  <si>
    <t>price</t>
    <phoneticPr fontId="2" type="noConversion"/>
  </si>
  <si>
    <t>調理包</t>
    <phoneticPr fontId="2" type="noConversion"/>
  </si>
  <si>
    <t>零食</t>
    <phoneticPr fontId="2" type="noConversion"/>
  </si>
  <si>
    <t>家常菜</t>
    <phoneticPr fontId="2" type="noConversion"/>
  </si>
  <si>
    <t>主食</t>
    <phoneticPr fontId="2" type="noConversion"/>
  </si>
  <si>
    <t>飲品</t>
    <phoneticPr fontId="2" type="noConversion"/>
  </si>
  <si>
    <t>其他</t>
    <phoneticPr fontId="2" type="noConversion"/>
  </si>
  <si>
    <t>伴手禮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</si>
</sst>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%"/>
    <numFmt numFmtId="177" formatCode="0_);[Red]\(0\)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2"/>
      <color theme="1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4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" fontId="3" fillId="0" borderId="5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9" fontId="4" fillId="2" borderId="10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176" fontId="4" fillId="2" borderId="11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>
      <alignment vertical="center"/>
    </xf>
    <xf numFmtId="0" fontId="4" fillId="2" borderId="14" xfId="0" applyFont="1" applyFill="1" applyBorder="1" applyAlignment="1">
      <alignment horizontal="center" vertical="center"/>
    </xf>
    <xf numFmtId="9" fontId="4" fillId="2" borderId="14" xfId="0" applyNumberFormat="1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76" fontId="4" fillId="2" borderId="15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4" fillId="2" borderId="5" xfId="0" applyFont="1" applyFill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9" fontId="4" fillId="2" borderId="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76" fontId="4" fillId="2" borderId="19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9" fontId="4" fillId="2" borderId="12" xfId="0" applyNumberFormat="1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>
      <alignment vertical="center"/>
    </xf>
    <xf numFmtId="0" fontId="4" fillId="2" borderId="23" xfId="0" applyFont="1" applyFill="1" applyBorder="1" applyAlignment="1">
      <alignment horizontal="center" vertical="center"/>
    </xf>
    <xf numFmtId="9" fontId="4" fillId="2" borderId="23" xfId="0" applyNumberFormat="1" applyFont="1" applyFill="1" applyBorder="1" applyAlignment="1">
      <alignment horizontal="center" vertical="center"/>
    </xf>
    <xf numFmtId="177" fontId="4" fillId="2" borderId="23" xfId="0" applyNumberFormat="1" applyFont="1" applyFill="1" applyBorder="1" applyAlignment="1">
      <alignment horizontal="center" vertical="center"/>
    </xf>
    <xf numFmtId="1" fontId="4" fillId="2" borderId="23" xfId="0" applyNumberFormat="1" applyFont="1" applyFill="1" applyBorder="1" applyAlignment="1">
      <alignment horizontal="center" vertical="center"/>
    </xf>
    <xf numFmtId="176" fontId="4" fillId="2" borderId="24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4" fillId="2" borderId="12" xfId="0" applyFont="1" applyFill="1" applyBorder="1">
      <alignment vertical="center"/>
    </xf>
    <xf numFmtId="176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17" xfId="0" applyFont="1" applyFill="1" applyBorder="1">
      <alignment vertical="center"/>
    </xf>
    <xf numFmtId="0" fontId="4" fillId="3" borderId="17" xfId="0" applyFont="1" applyFill="1" applyBorder="1" applyAlignment="1">
      <alignment horizontal="center" vertical="center"/>
    </xf>
    <xf numFmtId="9" fontId="4" fillId="3" borderId="17" xfId="0" applyNumberFormat="1" applyFont="1" applyFill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1" fontId="4" fillId="3" borderId="17" xfId="0" applyNumberFormat="1" applyFont="1" applyFill="1" applyBorder="1" applyAlignment="1">
      <alignment horizontal="center" vertical="center"/>
    </xf>
    <xf numFmtId="176" fontId="4" fillId="3" borderId="19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9" fontId="4" fillId="3" borderId="10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76" fontId="4" fillId="3" borderId="11" xfId="0" applyNumberFormat="1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>
      <alignment vertical="center"/>
    </xf>
    <xf numFmtId="0" fontId="4" fillId="3" borderId="23" xfId="0" applyFont="1" applyFill="1" applyBorder="1" applyAlignment="1">
      <alignment horizontal="center" vertical="center"/>
    </xf>
    <xf numFmtId="9" fontId="4" fillId="3" borderId="23" xfId="0" applyNumberFormat="1" applyFont="1" applyFill="1" applyBorder="1" applyAlignment="1">
      <alignment horizontal="center" vertical="center"/>
    </xf>
    <xf numFmtId="1" fontId="4" fillId="3" borderId="23" xfId="0" applyNumberFormat="1" applyFont="1" applyFill="1" applyBorder="1" applyAlignment="1">
      <alignment horizontal="center" vertical="center"/>
    </xf>
    <xf numFmtId="176" fontId="4" fillId="3" borderId="24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 wrapText="1"/>
    </xf>
    <xf numFmtId="0" fontId="4" fillId="3" borderId="12" xfId="0" applyFont="1" applyFill="1" applyBorder="1">
      <alignment vertical="center"/>
    </xf>
    <xf numFmtId="0" fontId="4" fillId="3" borderId="12" xfId="0" applyFont="1" applyFill="1" applyBorder="1" applyAlignment="1">
      <alignment horizontal="center" vertical="center"/>
    </xf>
    <xf numFmtId="9" fontId="4" fillId="3" borderId="12" xfId="0" applyNumberFormat="1" applyFont="1" applyFill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/>
    </xf>
    <xf numFmtId="1" fontId="4" fillId="3" borderId="12" xfId="0" applyNumberFormat="1" applyFont="1" applyFill="1" applyBorder="1" applyAlignment="1">
      <alignment horizontal="center" vertical="center"/>
    </xf>
    <xf numFmtId="176" fontId="4" fillId="3" borderId="27" xfId="0" applyNumberFormat="1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 wrapText="1"/>
    </xf>
    <xf numFmtId="0" fontId="4" fillId="3" borderId="14" xfId="0" applyFont="1" applyFill="1" applyBorder="1">
      <alignment vertical="center"/>
    </xf>
    <xf numFmtId="0" fontId="4" fillId="3" borderId="14" xfId="0" applyFont="1" applyFill="1" applyBorder="1" applyAlignment="1">
      <alignment horizontal="center" vertical="center"/>
    </xf>
    <xf numFmtId="9" fontId="4" fillId="3" borderId="14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4" borderId="17" xfId="0" applyFont="1" applyFill="1" applyBorder="1">
      <alignment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9" fontId="4" fillId="4" borderId="17" xfId="0" applyNumberFormat="1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1" fontId="4" fillId="4" borderId="17" xfId="0" applyNumberFormat="1" applyFont="1" applyFill="1" applyBorder="1" applyAlignment="1">
      <alignment horizontal="center" vertical="center"/>
    </xf>
    <xf numFmtId="176" fontId="4" fillId="4" borderId="19" xfId="0" applyNumberFormat="1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>
      <alignment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9" fontId="4" fillId="4" borderId="10" xfId="0" applyNumberFormat="1" applyFont="1" applyFill="1" applyBorder="1" applyAlignment="1">
      <alignment horizontal="center" vertical="center"/>
    </xf>
    <xf numFmtId="1" fontId="4" fillId="4" borderId="10" xfId="0" applyNumberFormat="1" applyFont="1" applyFill="1" applyBorder="1" applyAlignment="1">
      <alignment horizontal="center" vertical="center"/>
    </xf>
    <xf numFmtId="176" fontId="4" fillId="4" borderId="11" xfId="0" applyNumberFormat="1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>
      <alignment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9" fontId="4" fillId="4" borderId="23" xfId="0" applyNumberFormat="1" applyFont="1" applyFill="1" applyBorder="1" applyAlignment="1">
      <alignment horizontal="center" vertical="center"/>
    </xf>
    <xf numFmtId="1" fontId="4" fillId="4" borderId="22" xfId="0" applyNumberFormat="1" applyFont="1" applyFill="1" applyBorder="1" applyAlignment="1">
      <alignment horizontal="center" vertical="center"/>
    </xf>
    <xf numFmtId="1" fontId="4" fillId="4" borderId="23" xfId="0" applyNumberFormat="1" applyFont="1" applyFill="1" applyBorder="1" applyAlignment="1">
      <alignment horizontal="center" vertical="center"/>
    </xf>
    <xf numFmtId="176" fontId="4" fillId="4" borderId="24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1" fontId="4" fillId="4" borderId="12" xfId="0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8" xfId="0" applyFont="1" applyBorder="1" applyAlignment="1">
      <alignment vertical="center" wrapText="1"/>
    </xf>
    <xf numFmtId="0" fontId="4" fillId="0" borderId="0" xfId="0" applyFont="1">
      <alignment vertical="center"/>
    </xf>
    <xf numFmtId="1" fontId="1" fillId="0" borderId="0" xfId="0" applyNumberFormat="1" applyFont="1">
      <alignment vertical="center"/>
    </xf>
    <xf numFmtId="0" fontId="5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>
      <alignment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" fillId="5" borderId="10" xfId="0" applyFont="1" applyFill="1" applyBorder="1">
      <alignment vertical="center"/>
    </xf>
    <xf numFmtId="10" fontId="4" fillId="5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0" fillId="0" borderId="10" xfId="0" applyBorder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zoomScale="85" zoomScaleNormal="85" workbookViewId="0">
      <pane ySplit="1" topLeftCell="A24" activePane="bottomLeft" state="frozen"/>
      <selection pane="bottomLeft" activeCell="E2" sqref="E2:E44"/>
    </sheetView>
  </sheetViews>
  <sheetFormatPr defaultRowHeight="21" x14ac:dyDescent="0.25"/>
  <cols>
    <col min="1" max="1" width="10.875" style="9" bestFit="1" customWidth="1"/>
    <col min="2" max="2" width="25.75" style="9" customWidth="1"/>
    <col min="3" max="3" width="45" style="9" bestFit="1" customWidth="1"/>
    <col min="4" max="4" width="14.25" style="9" customWidth="1"/>
    <col min="5" max="5" width="52.625" style="9" bestFit="1" customWidth="1"/>
    <col min="6" max="6" width="13" style="9" customWidth="1"/>
    <col min="7" max="7" width="20.25" style="9" customWidth="1"/>
    <col min="8" max="8" width="13.25" style="9" customWidth="1"/>
    <col min="9" max="9" width="16.125" style="129" customWidth="1"/>
    <col min="10" max="10" width="6.75" style="9" customWidth="1"/>
    <col min="11" max="11" width="11.875" style="9" customWidth="1"/>
    <col min="12" max="12" width="22.125" style="9" customWidth="1"/>
    <col min="13" max="14" width="14" style="9" customWidth="1"/>
    <col min="15" max="15" width="11.875" style="130" customWidth="1"/>
    <col min="16" max="17" width="11.875" style="9" bestFit="1" customWidth="1"/>
    <col min="18" max="16384" width="9" style="9"/>
  </cols>
  <sheetData>
    <row r="1" spans="1:17" ht="39.75" customHeight="1" thickBot="1" x14ac:dyDescent="0.3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8" t="s">
        <v>13</v>
      </c>
      <c r="P1" s="6" t="s">
        <v>14</v>
      </c>
      <c r="Q1" s="6" t="s">
        <v>15</v>
      </c>
    </row>
    <row r="2" spans="1:17" ht="24.95" customHeight="1" x14ac:dyDescent="0.25">
      <c r="A2" s="10" t="s">
        <v>16</v>
      </c>
      <c r="B2" s="11" t="s">
        <v>17</v>
      </c>
      <c r="C2" s="12" t="s">
        <v>18</v>
      </c>
      <c r="D2" s="13" t="s">
        <v>19</v>
      </c>
      <c r="E2" s="14" t="s">
        <v>20</v>
      </c>
      <c r="F2" s="15" t="s">
        <v>21</v>
      </c>
      <c r="G2" s="15" t="s">
        <v>22</v>
      </c>
      <c r="H2" s="15" t="s">
        <v>23</v>
      </c>
      <c r="I2" s="15" t="s">
        <v>24</v>
      </c>
      <c r="J2" s="15">
        <v>65</v>
      </c>
      <c r="K2" s="15">
        <v>60</v>
      </c>
      <c r="L2" s="16">
        <v>0.32</v>
      </c>
      <c r="M2" s="17">
        <f t="shared" ref="M2:M3" si="0">LEFT(G2,2)/(1-L2)</f>
        <v>44.117647058823536</v>
      </c>
      <c r="N2" s="16">
        <v>0.2</v>
      </c>
      <c r="O2" s="17">
        <f t="shared" ref="O2:O3" si="1">M2/(1-N2)</f>
        <v>55.14705882352942</v>
      </c>
      <c r="P2" s="17">
        <v>55</v>
      </c>
      <c r="Q2" s="18"/>
    </row>
    <row r="3" spans="1:17" ht="24.95" customHeight="1" x14ac:dyDescent="0.25">
      <c r="A3" s="10"/>
      <c r="B3" s="10"/>
      <c r="C3" s="12"/>
      <c r="D3" s="19"/>
      <c r="E3" s="14" t="s">
        <v>25</v>
      </c>
      <c r="F3" s="15" t="s">
        <v>26</v>
      </c>
      <c r="G3" s="15" t="s">
        <v>27</v>
      </c>
      <c r="H3" s="15" t="s">
        <v>23</v>
      </c>
      <c r="I3" s="15" t="s">
        <v>24</v>
      </c>
      <c r="J3" s="15">
        <v>40</v>
      </c>
      <c r="K3" s="15">
        <v>66</v>
      </c>
      <c r="L3" s="16">
        <v>0.25</v>
      </c>
      <c r="M3" s="17">
        <f t="shared" si="0"/>
        <v>45.333333333333336</v>
      </c>
      <c r="N3" s="16">
        <v>0.2</v>
      </c>
      <c r="O3" s="17">
        <f t="shared" si="1"/>
        <v>56.666666666666664</v>
      </c>
      <c r="P3" s="17">
        <v>55</v>
      </c>
      <c r="Q3" s="18"/>
    </row>
    <row r="4" spans="1:17" ht="24.95" customHeight="1" x14ac:dyDescent="0.25">
      <c r="A4" s="10"/>
      <c r="B4" s="10"/>
      <c r="C4" s="12"/>
      <c r="D4" s="20" t="s">
        <v>28</v>
      </c>
      <c r="E4" s="14" t="s">
        <v>29</v>
      </c>
      <c r="F4" s="15" t="s">
        <v>30</v>
      </c>
      <c r="G4" s="15" t="s">
        <v>31</v>
      </c>
      <c r="H4" s="15" t="s">
        <v>23</v>
      </c>
      <c r="I4" s="15" t="s">
        <v>24</v>
      </c>
      <c r="J4" s="15">
        <v>35</v>
      </c>
      <c r="K4" s="15">
        <v>40</v>
      </c>
      <c r="L4" s="16">
        <v>0.2</v>
      </c>
      <c r="M4" s="17">
        <f>LEFT(G4,2)/(1-L4)</f>
        <v>32.5</v>
      </c>
      <c r="N4" s="16">
        <v>0.17</v>
      </c>
      <c r="O4" s="17">
        <f>M4/(1-N4)</f>
        <v>39.156626506024097</v>
      </c>
      <c r="P4" s="17">
        <v>39</v>
      </c>
      <c r="Q4" s="18"/>
    </row>
    <row r="5" spans="1:17" ht="24.95" customHeight="1" thickBot="1" x14ac:dyDescent="0.3">
      <c r="A5" s="10"/>
      <c r="B5" s="10"/>
      <c r="C5" s="21"/>
      <c r="D5" s="22"/>
      <c r="E5" s="23" t="s">
        <v>32</v>
      </c>
      <c r="F5" s="24" t="s">
        <v>30</v>
      </c>
      <c r="G5" s="24" t="s">
        <v>31</v>
      </c>
      <c r="H5" s="24" t="s">
        <v>23</v>
      </c>
      <c r="I5" s="24" t="s">
        <v>24</v>
      </c>
      <c r="J5" s="24">
        <v>35</v>
      </c>
      <c r="K5" s="24">
        <v>40</v>
      </c>
      <c r="L5" s="25">
        <v>0.2</v>
      </c>
      <c r="M5" s="26">
        <f>LEFT(G5,2)/(1-L5)</f>
        <v>32.5</v>
      </c>
      <c r="N5" s="25">
        <v>0.17</v>
      </c>
      <c r="O5" s="26">
        <f>M5/(1-N5)</f>
        <v>39.156626506024097</v>
      </c>
      <c r="P5" s="26">
        <v>39</v>
      </c>
      <c r="Q5" s="27"/>
    </row>
    <row r="6" spans="1:17" ht="24.95" customHeight="1" x14ac:dyDescent="0.25">
      <c r="A6" s="10"/>
      <c r="B6" s="10"/>
      <c r="C6" s="28" t="s">
        <v>33</v>
      </c>
      <c r="D6" s="29" t="s">
        <v>34</v>
      </c>
      <c r="E6" s="30" t="s">
        <v>35</v>
      </c>
      <c r="F6" s="31" t="s">
        <v>36</v>
      </c>
      <c r="G6" s="31" t="s">
        <v>37</v>
      </c>
      <c r="H6" s="32" t="s">
        <v>38</v>
      </c>
      <c r="I6" s="33" t="s">
        <v>39</v>
      </c>
      <c r="J6" s="34"/>
      <c r="K6" s="31"/>
      <c r="L6" s="35">
        <v>0.25</v>
      </c>
      <c r="M6" s="36">
        <f t="shared" ref="M6" si="2">LEFT(G6,3)/(1-L6)</f>
        <v>160</v>
      </c>
      <c r="N6" s="35">
        <v>0.2</v>
      </c>
      <c r="O6" s="36">
        <f t="shared" ref="O6" si="3">M6/(1-N6)</f>
        <v>200</v>
      </c>
      <c r="P6" s="36">
        <v>200</v>
      </c>
      <c r="Q6" s="37"/>
    </row>
    <row r="7" spans="1:17" ht="24.95" customHeight="1" x14ac:dyDescent="0.25">
      <c r="A7" s="10"/>
      <c r="B7" s="10"/>
      <c r="C7" s="38"/>
      <c r="D7" s="20"/>
      <c r="E7" s="14" t="s">
        <v>40</v>
      </c>
      <c r="F7" s="15" t="s">
        <v>41</v>
      </c>
      <c r="G7" s="15" t="s">
        <v>42</v>
      </c>
      <c r="H7" s="15" t="s">
        <v>43</v>
      </c>
      <c r="I7" s="39"/>
      <c r="J7" s="15">
        <v>253</v>
      </c>
      <c r="K7" s="15">
        <v>215</v>
      </c>
      <c r="L7" s="16">
        <v>0.15</v>
      </c>
      <c r="M7" s="17">
        <f>LEFT(G7,3)/(1-L7)</f>
        <v>176.47058823529412</v>
      </c>
      <c r="N7" s="16">
        <v>0.11</v>
      </c>
      <c r="O7" s="17">
        <f>M7/(1-N7)</f>
        <v>198.2815598149372</v>
      </c>
      <c r="P7" s="17">
        <v>199</v>
      </c>
      <c r="Q7" s="18"/>
    </row>
    <row r="8" spans="1:17" ht="24.95" customHeight="1" x14ac:dyDescent="0.25">
      <c r="A8" s="10"/>
      <c r="B8" s="10"/>
      <c r="C8" s="38"/>
      <c r="D8" s="22" t="s">
        <v>44</v>
      </c>
      <c r="E8" s="14" t="s">
        <v>45</v>
      </c>
      <c r="F8" s="40" t="s">
        <v>46</v>
      </c>
      <c r="G8" s="40" t="s">
        <v>47</v>
      </c>
      <c r="H8" s="40" t="s">
        <v>23</v>
      </c>
      <c r="I8" s="40" t="s">
        <v>24</v>
      </c>
      <c r="J8" s="40">
        <v>120</v>
      </c>
      <c r="K8" s="40">
        <v>150</v>
      </c>
      <c r="L8" s="41">
        <v>0.18</v>
      </c>
      <c r="M8" s="42">
        <f>LEFT(G8,2)/(1-L8)</f>
        <v>63.414634146341456</v>
      </c>
      <c r="N8" s="41">
        <v>0.15</v>
      </c>
      <c r="O8" s="43">
        <f t="shared" ref="O8:O9" si="4">M8/(1-N8)</f>
        <v>74.605451936872299</v>
      </c>
      <c r="P8" s="43">
        <v>75</v>
      </c>
      <c r="Q8" s="18"/>
    </row>
    <row r="9" spans="1:17" ht="24.95" customHeight="1" thickBot="1" x14ac:dyDescent="0.3">
      <c r="A9" s="10"/>
      <c r="B9" s="10"/>
      <c r="C9" s="44"/>
      <c r="D9" s="45"/>
      <c r="E9" s="46" t="s">
        <v>48</v>
      </c>
      <c r="F9" s="47" t="s">
        <v>46</v>
      </c>
      <c r="G9" s="47" t="s">
        <v>47</v>
      </c>
      <c r="H9" s="47" t="s">
        <v>23</v>
      </c>
      <c r="I9" s="47" t="s">
        <v>24</v>
      </c>
      <c r="J9" s="47">
        <v>120</v>
      </c>
      <c r="K9" s="47">
        <v>150</v>
      </c>
      <c r="L9" s="48">
        <v>0.18</v>
      </c>
      <c r="M9" s="49">
        <f>LEFT(G9,2)/(1-L9)</f>
        <v>63.414634146341456</v>
      </c>
      <c r="N9" s="48">
        <v>0.15</v>
      </c>
      <c r="O9" s="50">
        <f t="shared" si="4"/>
        <v>74.605451936872299</v>
      </c>
      <c r="P9" s="50">
        <v>75</v>
      </c>
      <c r="Q9" s="51"/>
    </row>
    <row r="10" spans="1:17" ht="24.95" customHeight="1" x14ac:dyDescent="0.25">
      <c r="A10" s="52"/>
      <c r="B10" s="10"/>
      <c r="C10" s="53" t="s">
        <v>49</v>
      </c>
      <c r="D10" s="19" t="s">
        <v>44</v>
      </c>
      <c r="E10" s="54" t="s">
        <v>50</v>
      </c>
      <c r="F10" s="40" t="s">
        <v>51</v>
      </c>
      <c r="G10" s="40" t="s">
        <v>52</v>
      </c>
      <c r="H10" s="40" t="s">
        <v>23</v>
      </c>
      <c r="I10" s="40" t="s">
        <v>24</v>
      </c>
      <c r="J10" s="40">
        <v>120</v>
      </c>
      <c r="K10" s="40">
        <v>130</v>
      </c>
      <c r="L10" s="41">
        <v>0.2</v>
      </c>
      <c r="M10" s="43">
        <f>LEFT(G10,2)/(1-L10)</f>
        <v>106.25</v>
      </c>
      <c r="N10" s="41">
        <v>0.18</v>
      </c>
      <c r="O10" s="43">
        <f>M10/(1-N10)</f>
        <v>129.57317073170731</v>
      </c>
      <c r="P10" s="43">
        <v>130</v>
      </c>
      <c r="Q10" s="55"/>
    </row>
    <row r="11" spans="1:17" ht="24.95" customHeight="1" x14ac:dyDescent="0.25">
      <c r="A11" s="52"/>
      <c r="B11" s="10"/>
      <c r="C11" s="38"/>
      <c r="D11" s="20"/>
      <c r="E11" s="14" t="s">
        <v>53</v>
      </c>
      <c r="F11" s="15" t="s">
        <v>51</v>
      </c>
      <c r="G11" s="15" t="s">
        <v>52</v>
      </c>
      <c r="H11" s="15" t="s">
        <v>23</v>
      </c>
      <c r="I11" s="15" t="s">
        <v>24</v>
      </c>
      <c r="J11" s="15">
        <v>120</v>
      </c>
      <c r="K11" s="15">
        <v>130</v>
      </c>
      <c r="L11" s="16">
        <v>0.2</v>
      </c>
      <c r="M11" s="17">
        <f>LEFT(G11,2)/(1-L11)</f>
        <v>106.25</v>
      </c>
      <c r="N11" s="16">
        <v>0.18</v>
      </c>
      <c r="O11" s="17">
        <f t="shared" ref="O11:O43" si="5">M11/(1-N11)</f>
        <v>129.57317073170731</v>
      </c>
      <c r="P11" s="17">
        <v>130</v>
      </c>
      <c r="Q11" s="18"/>
    </row>
    <row r="12" spans="1:17" ht="24.95" customHeight="1" x14ac:dyDescent="0.25">
      <c r="A12" s="52"/>
      <c r="B12" s="10"/>
      <c r="C12" s="38"/>
      <c r="D12" s="20"/>
      <c r="E12" s="23" t="s">
        <v>54</v>
      </c>
      <c r="F12" s="24" t="s">
        <v>55</v>
      </c>
      <c r="G12" s="24" t="s">
        <v>56</v>
      </c>
      <c r="H12" s="24" t="s">
        <v>23</v>
      </c>
      <c r="I12" s="24" t="s">
        <v>24</v>
      </c>
      <c r="J12" s="24">
        <v>55</v>
      </c>
      <c r="K12" s="24">
        <v>50</v>
      </c>
      <c r="L12" s="25">
        <v>0.17</v>
      </c>
      <c r="M12" s="26">
        <f t="shared" ref="M12:M19" si="6">LEFT(G12,2)/(1-L12)</f>
        <v>48.192771084337352</v>
      </c>
      <c r="N12" s="25">
        <v>0.13</v>
      </c>
      <c r="O12" s="26">
        <f t="shared" si="5"/>
        <v>55.393989752111899</v>
      </c>
      <c r="P12" s="26">
        <v>55</v>
      </c>
      <c r="Q12" s="18"/>
    </row>
    <row r="13" spans="1:17" ht="24.95" customHeight="1" x14ac:dyDescent="0.25">
      <c r="A13" s="52"/>
      <c r="B13" s="10"/>
      <c r="C13" s="38"/>
      <c r="D13" s="20"/>
      <c r="E13" s="23" t="s">
        <v>57</v>
      </c>
      <c r="F13" s="24" t="s">
        <v>55</v>
      </c>
      <c r="G13" s="24" t="s">
        <v>56</v>
      </c>
      <c r="H13" s="24" t="s">
        <v>23</v>
      </c>
      <c r="I13" s="24" t="s">
        <v>24</v>
      </c>
      <c r="J13" s="24">
        <v>55</v>
      </c>
      <c r="K13" s="24">
        <v>50</v>
      </c>
      <c r="L13" s="25">
        <v>0.17</v>
      </c>
      <c r="M13" s="26">
        <f t="shared" si="6"/>
        <v>48.192771084337352</v>
      </c>
      <c r="N13" s="25">
        <v>0.13</v>
      </c>
      <c r="O13" s="26">
        <f t="shared" si="5"/>
        <v>55.393989752111899</v>
      </c>
      <c r="P13" s="26">
        <v>55</v>
      </c>
      <c r="Q13" s="18"/>
    </row>
    <row r="14" spans="1:17" ht="24.95" customHeight="1" thickBot="1" x14ac:dyDescent="0.3">
      <c r="A14" s="52"/>
      <c r="B14" s="56"/>
      <c r="C14" s="57"/>
      <c r="D14" s="22"/>
      <c r="E14" s="23" t="s">
        <v>58</v>
      </c>
      <c r="F14" s="24" t="s">
        <v>55</v>
      </c>
      <c r="G14" s="24" t="s">
        <v>56</v>
      </c>
      <c r="H14" s="24" t="s">
        <v>23</v>
      </c>
      <c r="I14" s="24" t="s">
        <v>24</v>
      </c>
      <c r="J14" s="24">
        <v>55</v>
      </c>
      <c r="K14" s="24">
        <v>50</v>
      </c>
      <c r="L14" s="25">
        <v>0.17</v>
      </c>
      <c r="M14" s="26">
        <f t="shared" si="6"/>
        <v>48.192771084337352</v>
      </c>
      <c r="N14" s="25">
        <v>0.13</v>
      </c>
      <c r="O14" s="26">
        <f t="shared" si="5"/>
        <v>55.393989752111899</v>
      </c>
      <c r="P14" s="26">
        <v>55</v>
      </c>
      <c r="Q14" s="27"/>
    </row>
    <row r="15" spans="1:17" ht="24.95" customHeight="1" x14ac:dyDescent="0.25">
      <c r="A15" s="11" t="s">
        <v>59</v>
      </c>
      <c r="B15" s="11" t="s">
        <v>60</v>
      </c>
      <c r="C15" s="58" t="s">
        <v>61</v>
      </c>
      <c r="D15" s="59" t="s">
        <v>62</v>
      </c>
      <c r="E15" s="60" t="s">
        <v>63</v>
      </c>
      <c r="F15" s="61" t="s">
        <v>30</v>
      </c>
      <c r="G15" s="61" t="s">
        <v>64</v>
      </c>
      <c r="H15" s="61" t="s">
        <v>23</v>
      </c>
      <c r="I15" s="61" t="s">
        <v>24</v>
      </c>
      <c r="J15" s="61"/>
      <c r="K15" s="61">
        <v>19</v>
      </c>
      <c r="L15" s="62">
        <v>0.3</v>
      </c>
      <c r="M15" s="63">
        <f t="shared" si="6"/>
        <v>17.142857142857142</v>
      </c>
      <c r="N15" s="62">
        <v>0.2</v>
      </c>
      <c r="O15" s="64">
        <f t="shared" si="5"/>
        <v>21.428571428571427</v>
      </c>
      <c r="P15" s="65">
        <v>25</v>
      </c>
      <c r="Q15" s="66"/>
    </row>
    <row r="16" spans="1:17" ht="24.95" customHeight="1" x14ac:dyDescent="0.25">
      <c r="A16" s="10"/>
      <c r="B16" s="10"/>
      <c r="C16" s="67"/>
      <c r="D16" s="68"/>
      <c r="E16" s="69" t="s">
        <v>65</v>
      </c>
      <c r="F16" s="70" t="s">
        <v>66</v>
      </c>
      <c r="G16" s="70" t="s">
        <v>67</v>
      </c>
      <c r="H16" s="70" t="s">
        <v>68</v>
      </c>
      <c r="I16" s="70" t="s">
        <v>24</v>
      </c>
      <c r="J16" s="70"/>
      <c r="K16" s="70">
        <v>65</v>
      </c>
      <c r="L16" s="71">
        <v>0.25</v>
      </c>
      <c r="M16" s="63">
        <f t="shared" si="6"/>
        <v>60</v>
      </c>
      <c r="N16" s="71">
        <v>0.15</v>
      </c>
      <c r="O16" s="63">
        <f t="shared" si="5"/>
        <v>70.588235294117652</v>
      </c>
      <c r="P16" s="72">
        <v>70</v>
      </c>
      <c r="Q16" s="73"/>
    </row>
    <row r="17" spans="1:17" ht="24.95" customHeight="1" x14ac:dyDescent="0.25">
      <c r="A17" s="10"/>
      <c r="B17" s="10"/>
      <c r="C17" s="67"/>
      <c r="D17" s="68"/>
      <c r="E17" s="69" t="s">
        <v>69</v>
      </c>
      <c r="F17" s="70" t="s">
        <v>66</v>
      </c>
      <c r="G17" s="70" t="s">
        <v>67</v>
      </c>
      <c r="H17" s="70" t="s">
        <v>68</v>
      </c>
      <c r="I17" s="70" t="s">
        <v>24</v>
      </c>
      <c r="J17" s="70"/>
      <c r="K17" s="70">
        <v>65</v>
      </c>
      <c r="L17" s="71">
        <v>0.25</v>
      </c>
      <c r="M17" s="63">
        <f t="shared" si="6"/>
        <v>60</v>
      </c>
      <c r="N17" s="71">
        <v>0.15</v>
      </c>
      <c r="O17" s="63">
        <f t="shared" si="5"/>
        <v>70.588235294117652</v>
      </c>
      <c r="P17" s="72">
        <v>70</v>
      </c>
      <c r="Q17" s="73"/>
    </row>
    <row r="18" spans="1:17" ht="24.95" customHeight="1" x14ac:dyDescent="0.25">
      <c r="A18" s="10"/>
      <c r="B18" s="10"/>
      <c r="C18" s="67"/>
      <c r="D18" s="68"/>
      <c r="E18" s="69" t="s">
        <v>70</v>
      </c>
      <c r="F18" s="70" t="s">
        <v>71</v>
      </c>
      <c r="G18" s="70" t="s">
        <v>72</v>
      </c>
      <c r="H18" s="70" t="s">
        <v>23</v>
      </c>
      <c r="I18" s="70" t="s">
        <v>24</v>
      </c>
      <c r="J18" s="70" t="s">
        <v>24</v>
      </c>
      <c r="K18" s="70" t="s">
        <v>24</v>
      </c>
      <c r="L18" s="71">
        <v>0.13</v>
      </c>
      <c r="M18" s="63">
        <f t="shared" si="6"/>
        <v>80.459770114942529</v>
      </c>
      <c r="N18" s="71">
        <v>0.1</v>
      </c>
      <c r="O18" s="63">
        <f t="shared" si="5"/>
        <v>89.399744572158369</v>
      </c>
      <c r="P18" s="72">
        <v>89</v>
      </c>
      <c r="Q18" s="73"/>
    </row>
    <row r="19" spans="1:17" ht="24.95" customHeight="1" thickBot="1" x14ac:dyDescent="0.3">
      <c r="A19" s="10"/>
      <c r="B19" s="10"/>
      <c r="C19" s="74"/>
      <c r="D19" s="75"/>
      <c r="E19" s="76" t="s">
        <v>73</v>
      </c>
      <c r="F19" s="77" t="s">
        <v>71</v>
      </c>
      <c r="G19" s="77" t="s">
        <v>74</v>
      </c>
      <c r="H19" s="77" t="s">
        <v>23</v>
      </c>
      <c r="I19" s="77" t="s">
        <v>24</v>
      </c>
      <c r="J19" s="77" t="s">
        <v>24</v>
      </c>
      <c r="K19" s="77" t="s">
        <v>24</v>
      </c>
      <c r="L19" s="78">
        <v>0.12</v>
      </c>
      <c r="M19" s="79">
        <f t="shared" si="6"/>
        <v>94.318181818181813</v>
      </c>
      <c r="N19" s="78">
        <v>0.1</v>
      </c>
      <c r="O19" s="79">
        <f t="shared" si="5"/>
        <v>104.79797979797979</v>
      </c>
      <c r="P19" s="79">
        <v>105</v>
      </c>
      <c r="Q19" s="80"/>
    </row>
    <row r="20" spans="1:17" ht="24.95" customHeight="1" x14ac:dyDescent="0.25">
      <c r="A20" s="10"/>
      <c r="B20" s="10"/>
      <c r="C20" s="58" t="s">
        <v>75</v>
      </c>
      <c r="D20" s="59" t="s">
        <v>76</v>
      </c>
      <c r="E20" s="60" t="s">
        <v>77</v>
      </c>
      <c r="F20" s="61" t="s">
        <v>78</v>
      </c>
      <c r="G20" s="61" t="s">
        <v>79</v>
      </c>
      <c r="H20" s="61" t="s">
        <v>80</v>
      </c>
      <c r="I20" s="61" t="s">
        <v>24</v>
      </c>
      <c r="J20" s="61"/>
      <c r="K20" s="61">
        <v>99</v>
      </c>
      <c r="L20" s="62">
        <v>0.2</v>
      </c>
      <c r="M20" s="64">
        <f>LEFT(G20,5)/(1-L20)</f>
        <v>85.3125</v>
      </c>
      <c r="N20" s="62">
        <v>0.14000000000000001</v>
      </c>
      <c r="O20" s="65">
        <f t="shared" si="5"/>
        <v>99.200581395348834</v>
      </c>
      <c r="P20" s="65">
        <v>99</v>
      </c>
      <c r="Q20" s="66"/>
    </row>
    <row r="21" spans="1:17" ht="24.95" customHeight="1" x14ac:dyDescent="0.25">
      <c r="A21" s="10"/>
      <c r="B21" s="10"/>
      <c r="C21" s="67"/>
      <c r="D21" s="81"/>
      <c r="E21" s="69" t="s">
        <v>81</v>
      </c>
      <c r="F21" s="70" t="s">
        <v>82</v>
      </c>
      <c r="G21" s="70" t="s">
        <v>83</v>
      </c>
      <c r="H21" s="70" t="s">
        <v>84</v>
      </c>
      <c r="I21" s="70" t="s">
        <v>24</v>
      </c>
      <c r="J21" s="70"/>
      <c r="K21" s="70">
        <v>109</v>
      </c>
      <c r="L21" s="71">
        <v>0.2</v>
      </c>
      <c r="M21" s="63">
        <f>LEFT(G21,4)/(1-L21)</f>
        <v>91.875</v>
      </c>
      <c r="N21" s="71">
        <v>0.16</v>
      </c>
      <c r="O21" s="72">
        <f t="shared" si="5"/>
        <v>109.375</v>
      </c>
      <c r="P21" s="72">
        <v>109</v>
      </c>
      <c r="Q21" s="73"/>
    </row>
    <row r="22" spans="1:17" ht="24.95" customHeight="1" x14ac:dyDescent="0.25">
      <c r="A22" s="10"/>
      <c r="B22" s="10"/>
      <c r="C22" s="67"/>
      <c r="D22" s="82" t="s">
        <v>85</v>
      </c>
      <c r="E22" s="69" t="s">
        <v>86</v>
      </c>
      <c r="F22" s="70" t="s">
        <v>87</v>
      </c>
      <c r="G22" s="70" t="s">
        <v>72</v>
      </c>
      <c r="H22" s="70" t="s">
        <v>23</v>
      </c>
      <c r="I22" s="70" t="s">
        <v>24</v>
      </c>
      <c r="J22" s="70"/>
      <c r="K22" s="70"/>
      <c r="L22" s="71">
        <v>0.2</v>
      </c>
      <c r="M22" s="63">
        <f>LEFT(G22,2)/(1-L22)</f>
        <v>87.5</v>
      </c>
      <c r="N22" s="71">
        <v>0.15</v>
      </c>
      <c r="O22" s="72">
        <f t="shared" si="5"/>
        <v>102.94117647058823</v>
      </c>
      <c r="P22" s="72">
        <v>105</v>
      </c>
      <c r="Q22" s="73"/>
    </row>
    <row r="23" spans="1:17" ht="24.95" customHeight="1" x14ac:dyDescent="0.25">
      <c r="A23" s="10"/>
      <c r="B23" s="10"/>
      <c r="C23" s="67"/>
      <c r="D23" s="68"/>
      <c r="E23" s="69" t="s">
        <v>88</v>
      </c>
      <c r="F23" s="70" t="s">
        <v>87</v>
      </c>
      <c r="G23" s="70" t="s">
        <v>72</v>
      </c>
      <c r="H23" s="70" t="s">
        <v>23</v>
      </c>
      <c r="I23" s="70" t="s">
        <v>24</v>
      </c>
      <c r="J23" s="70"/>
      <c r="K23" s="70"/>
      <c r="L23" s="71">
        <v>0.2</v>
      </c>
      <c r="M23" s="63">
        <f>LEFT(G23,2)/(1-L23)</f>
        <v>87.5</v>
      </c>
      <c r="N23" s="71">
        <v>0.15</v>
      </c>
      <c r="O23" s="72">
        <f t="shared" si="5"/>
        <v>102.94117647058823</v>
      </c>
      <c r="P23" s="70">
        <v>105</v>
      </c>
      <c r="Q23" s="83"/>
    </row>
    <row r="24" spans="1:17" ht="24.95" customHeight="1" thickBot="1" x14ac:dyDescent="0.3">
      <c r="A24" s="10"/>
      <c r="B24" s="10"/>
      <c r="C24" s="74"/>
      <c r="D24" s="75"/>
      <c r="E24" s="76" t="s">
        <v>89</v>
      </c>
      <c r="F24" s="77" t="s">
        <v>87</v>
      </c>
      <c r="G24" s="77" t="s">
        <v>72</v>
      </c>
      <c r="H24" s="77" t="s">
        <v>23</v>
      </c>
      <c r="I24" s="77" t="s">
        <v>24</v>
      </c>
      <c r="J24" s="77"/>
      <c r="K24" s="77"/>
      <c r="L24" s="78">
        <v>0.2</v>
      </c>
      <c r="M24" s="79">
        <f>LEFT(G24,2)/(1-L24)</f>
        <v>87.5</v>
      </c>
      <c r="N24" s="78">
        <v>0.15</v>
      </c>
      <c r="O24" s="79">
        <f t="shared" si="5"/>
        <v>102.94117647058823</v>
      </c>
      <c r="P24" s="77">
        <v>105</v>
      </c>
      <c r="Q24" s="84"/>
    </row>
    <row r="25" spans="1:17" ht="24.95" customHeight="1" x14ac:dyDescent="0.25">
      <c r="A25" s="10"/>
      <c r="B25" s="10"/>
      <c r="C25" s="85" t="s">
        <v>90</v>
      </c>
      <c r="D25" s="68" t="s">
        <v>91</v>
      </c>
      <c r="E25" s="86" t="s">
        <v>92</v>
      </c>
      <c r="F25" s="87" t="s">
        <v>93</v>
      </c>
      <c r="G25" s="87" t="s">
        <v>94</v>
      </c>
      <c r="H25" s="87" t="s">
        <v>95</v>
      </c>
      <c r="I25" s="87" t="s">
        <v>24</v>
      </c>
      <c r="J25" s="87">
        <v>25</v>
      </c>
      <c r="K25" s="87">
        <v>19</v>
      </c>
      <c r="L25" s="88">
        <v>0.35</v>
      </c>
      <c r="M25" s="89">
        <f t="shared" ref="M25:M28" si="7">LEFT(G25,2)/(1-L25)</f>
        <v>20</v>
      </c>
      <c r="N25" s="88">
        <v>0.2</v>
      </c>
      <c r="O25" s="89">
        <f t="shared" si="5"/>
        <v>25</v>
      </c>
      <c r="P25" s="90">
        <v>25</v>
      </c>
      <c r="Q25" s="91"/>
    </row>
    <row r="26" spans="1:17" ht="24.95" customHeight="1" x14ac:dyDescent="0.25">
      <c r="A26" s="10"/>
      <c r="B26" s="10"/>
      <c r="C26" s="67"/>
      <c r="D26" s="68"/>
      <c r="E26" s="69" t="s">
        <v>96</v>
      </c>
      <c r="F26" s="70" t="s">
        <v>97</v>
      </c>
      <c r="G26" s="70" t="s">
        <v>98</v>
      </c>
      <c r="H26" s="70" t="s">
        <v>99</v>
      </c>
      <c r="I26" s="70" t="s">
        <v>24</v>
      </c>
      <c r="J26" s="70">
        <v>790</v>
      </c>
      <c r="K26" s="70">
        <v>783</v>
      </c>
      <c r="L26" s="71">
        <v>0.45</v>
      </c>
      <c r="M26" s="63">
        <f>LEFT(G26,3)/(1-L26)</f>
        <v>610.90909090909088</v>
      </c>
      <c r="N26" s="71">
        <v>0.2</v>
      </c>
      <c r="O26" s="72">
        <f t="shared" si="5"/>
        <v>763.63636363636351</v>
      </c>
      <c r="P26" s="72">
        <v>765</v>
      </c>
      <c r="Q26" s="73"/>
    </row>
    <row r="27" spans="1:17" ht="24.95" customHeight="1" x14ac:dyDescent="0.25">
      <c r="A27" s="10"/>
      <c r="B27" s="10"/>
      <c r="C27" s="67"/>
      <c r="D27" s="68"/>
      <c r="E27" s="69" t="s">
        <v>100</v>
      </c>
      <c r="F27" s="70" t="s">
        <v>101</v>
      </c>
      <c r="G27" s="70" t="s">
        <v>102</v>
      </c>
      <c r="H27" s="70" t="s">
        <v>68</v>
      </c>
      <c r="I27" s="70" t="s">
        <v>24</v>
      </c>
      <c r="J27" s="70">
        <v>990</v>
      </c>
      <c r="K27" s="70">
        <v>605</v>
      </c>
      <c r="L27" s="71">
        <v>0.65</v>
      </c>
      <c r="M27" s="63">
        <f>LEFT(G27,3)/(1-L27)</f>
        <v>451.42857142857144</v>
      </c>
      <c r="N27" s="71">
        <v>0.2</v>
      </c>
      <c r="O27" s="72">
        <f t="shared" si="5"/>
        <v>564.28571428571422</v>
      </c>
      <c r="P27" s="72">
        <v>565</v>
      </c>
      <c r="Q27" s="73"/>
    </row>
    <row r="28" spans="1:17" ht="24.95" hidden="1" customHeight="1" x14ac:dyDescent="0.25">
      <c r="A28" s="10"/>
      <c r="B28" s="10"/>
      <c r="C28" s="92"/>
      <c r="D28" s="68"/>
      <c r="E28" s="69" t="s">
        <v>103</v>
      </c>
      <c r="F28" s="70" t="s">
        <v>104</v>
      </c>
      <c r="G28" s="70" t="s">
        <v>105</v>
      </c>
      <c r="H28" s="70" t="s">
        <v>23</v>
      </c>
      <c r="I28" s="70" t="s">
        <v>24</v>
      </c>
      <c r="J28" s="70">
        <v>59</v>
      </c>
      <c r="K28" s="70"/>
      <c r="L28" s="71">
        <v>0.5</v>
      </c>
      <c r="M28" s="63">
        <f t="shared" si="7"/>
        <v>118</v>
      </c>
      <c r="N28" s="71">
        <v>0.2</v>
      </c>
      <c r="O28" s="72">
        <f t="shared" si="5"/>
        <v>147.5</v>
      </c>
      <c r="P28" s="70">
        <v>149</v>
      </c>
      <c r="Q28" s="83"/>
    </row>
    <row r="29" spans="1:17" ht="24.95" customHeight="1" thickBot="1" x14ac:dyDescent="0.3">
      <c r="A29" s="56"/>
      <c r="B29" s="56"/>
      <c r="C29" s="92"/>
      <c r="D29" s="68"/>
      <c r="E29" s="93" t="s">
        <v>106</v>
      </c>
      <c r="F29" s="94" t="s">
        <v>107</v>
      </c>
      <c r="G29" s="94" t="s">
        <v>108</v>
      </c>
      <c r="H29" s="94" t="s">
        <v>99</v>
      </c>
      <c r="I29" s="94" t="s">
        <v>24</v>
      </c>
      <c r="J29" s="94">
        <v>269</v>
      </c>
      <c r="K29" s="94">
        <v>336</v>
      </c>
      <c r="L29" s="95">
        <v>0.6</v>
      </c>
      <c r="M29" s="63">
        <f>LEFT(G29,2)/(1-L29)</f>
        <v>212.5</v>
      </c>
      <c r="N29" s="95">
        <v>0.2</v>
      </c>
      <c r="O29" s="89">
        <f t="shared" si="5"/>
        <v>265.625</v>
      </c>
      <c r="P29" s="94">
        <v>269</v>
      </c>
      <c r="Q29" s="96"/>
    </row>
    <row r="30" spans="1:17" ht="24.95" customHeight="1" x14ac:dyDescent="0.25">
      <c r="A30" s="97" t="s">
        <v>109</v>
      </c>
      <c r="B30" s="11" t="s">
        <v>60</v>
      </c>
      <c r="C30" s="98" t="s">
        <v>110</v>
      </c>
      <c r="D30" s="99" t="s">
        <v>111</v>
      </c>
      <c r="E30" s="100" t="s">
        <v>112</v>
      </c>
      <c r="F30" s="101" t="s">
        <v>113</v>
      </c>
      <c r="G30" s="101" t="s">
        <v>114</v>
      </c>
      <c r="H30" s="101" t="s">
        <v>113</v>
      </c>
      <c r="I30" s="102" t="s">
        <v>115</v>
      </c>
      <c r="J30" s="101"/>
      <c r="K30" s="101"/>
      <c r="L30" s="103">
        <v>0.17</v>
      </c>
      <c r="M30" s="104">
        <f>LEFT(G30,2)/(1-L30)</f>
        <v>22.891566265060241</v>
      </c>
      <c r="N30" s="103">
        <v>0.1</v>
      </c>
      <c r="O30" s="104">
        <f t="shared" si="5"/>
        <v>25.435073627844712</v>
      </c>
      <c r="P30" s="105">
        <v>25</v>
      </c>
      <c r="Q30" s="106"/>
    </row>
    <row r="31" spans="1:17" ht="24.95" customHeight="1" x14ac:dyDescent="0.25">
      <c r="A31" s="52"/>
      <c r="B31" s="10"/>
      <c r="C31" s="107"/>
      <c r="D31" s="108"/>
      <c r="E31" s="109" t="s">
        <v>116</v>
      </c>
      <c r="F31" s="110" t="s">
        <v>113</v>
      </c>
      <c r="G31" s="110" t="s">
        <v>114</v>
      </c>
      <c r="H31" s="110" t="s">
        <v>113</v>
      </c>
      <c r="I31" s="111"/>
      <c r="J31" s="110"/>
      <c r="K31" s="110"/>
      <c r="L31" s="112">
        <v>0.17</v>
      </c>
      <c r="M31" s="113">
        <f>LEFT(G31,2)/(1-L31)</f>
        <v>22.891566265060241</v>
      </c>
      <c r="N31" s="112">
        <v>0.1</v>
      </c>
      <c r="O31" s="113">
        <f t="shared" si="5"/>
        <v>25.435073627844712</v>
      </c>
      <c r="P31" s="113">
        <v>25</v>
      </c>
      <c r="Q31" s="114"/>
    </row>
    <row r="32" spans="1:17" ht="24.95" customHeight="1" x14ac:dyDescent="0.25">
      <c r="A32" s="52"/>
      <c r="B32" s="10"/>
      <c r="C32" s="107"/>
      <c r="D32" s="108"/>
      <c r="E32" s="109" t="s">
        <v>117</v>
      </c>
      <c r="F32" s="110" t="s">
        <v>118</v>
      </c>
      <c r="G32" s="110" t="s">
        <v>119</v>
      </c>
      <c r="H32" s="110" t="s">
        <v>68</v>
      </c>
      <c r="I32" s="111"/>
      <c r="J32" s="110"/>
      <c r="K32" s="110"/>
      <c r="L32" s="112">
        <v>0.13</v>
      </c>
      <c r="M32" s="113">
        <f>LEFT(G32,3)/(1-L32)</f>
        <v>268.9655172413793</v>
      </c>
      <c r="N32" s="112">
        <v>0.1</v>
      </c>
      <c r="O32" s="113">
        <f t="shared" si="5"/>
        <v>298.85057471264366</v>
      </c>
      <c r="P32" s="113">
        <v>299</v>
      </c>
      <c r="Q32" s="114"/>
    </row>
    <row r="33" spans="1:17" ht="24.95" customHeight="1" x14ac:dyDescent="0.25">
      <c r="A33" s="52"/>
      <c r="B33" s="10"/>
      <c r="C33" s="107"/>
      <c r="D33" s="108"/>
      <c r="E33" s="109" t="s">
        <v>120</v>
      </c>
      <c r="F33" s="110" t="s">
        <v>118</v>
      </c>
      <c r="G33" s="110" t="s">
        <v>119</v>
      </c>
      <c r="H33" s="110" t="s">
        <v>68</v>
      </c>
      <c r="I33" s="111"/>
      <c r="J33" s="110"/>
      <c r="K33" s="110"/>
      <c r="L33" s="112">
        <v>0.13</v>
      </c>
      <c r="M33" s="113">
        <f t="shared" ref="M33:M34" si="8">LEFT(G33,3)/(1-L33)</f>
        <v>268.9655172413793</v>
      </c>
      <c r="N33" s="112">
        <v>0.1</v>
      </c>
      <c r="O33" s="113">
        <f t="shared" si="5"/>
        <v>298.85057471264366</v>
      </c>
      <c r="P33" s="113">
        <v>299</v>
      </c>
      <c r="Q33" s="114"/>
    </row>
    <row r="34" spans="1:17" ht="24.95" customHeight="1" thickBot="1" x14ac:dyDescent="0.3">
      <c r="A34" s="52"/>
      <c r="B34" s="56"/>
      <c r="C34" s="115"/>
      <c r="D34" s="116"/>
      <c r="E34" s="117" t="s">
        <v>121</v>
      </c>
      <c r="F34" s="118" t="s">
        <v>118</v>
      </c>
      <c r="G34" s="118" t="s">
        <v>119</v>
      </c>
      <c r="H34" s="118" t="s">
        <v>68</v>
      </c>
      <c r="I34" s="119"/>
      <c r="J34" s="118"/>
      <c r="K34" s="118"/>
      <c r="L34" s="120">
        <v>0.13</v>
      </c>
      <c r="M34" s="113">
        <f t="shared" si="8"/>
        <v>268.9655172413793</v>
      </c>
      <c r="N34" s="120">
        <v>0.1</v>
      </c>
      <c r="O34" s="121">
        <f t="shared" si="5"/>
        <v>298.85057471264366</v>
      </c>
      <c r="P34" s="122">
        <v>299</v>
      </c>
      <c r="Q34" s="123"/>
    </row>
    <row r="35" spans="1:17" ht="24.95" customHeight="1" x14ac:dyDescent="0.25">
      <c r="A35" s="52"/>
      <c r="B35" s="124"/>
      <c r="C35" s="98" t="s">
        <v>122</v>
      </c>
      <c r="D35" s="99" t="s">
        <v>123</v>
      </c>
      <c r="E35" s="100" t="s">
        <v>124</v>
      </c>
      <c r="F35" s="101" t="s">
        <v>125</v>
      </c>
      <c r="G35" s="101" t="s">
        <v>126</v>
      </c>
      <c r="H35" s="101" t="s">
        <v>23</v>
      </c>
      <c r="I35" s="102" t="s">
        <v>127</v>
      </c>
      <c r="J35" s="101"/>
      <c r="K35" s="101">
        <v>69</v>
      </c>
      <c r="L35" s="103">
        <v>0.15</v>
      </c>
      <c r="M35" s="105">
        <f>LEFT(G35,2)/(1-L35)</f>
        <v>60</v>
      </c>
      <c r="N35" s="103">
        <v>0.13</v>
      </c>
      <c r="O35" s="104">
        <f t="shared" si="5"/>
        <v>68.965517241379317</v>
      </c>
      <c r="P35" s="105">
        <v>69</v>
      </c>
      <c r="Q35" s="106"/>
    </row>
    <row r="36" spans="1:17" ht="24.95" customHeight="1" x14ac:dyDescent="0.25">
      <c r="A36" s="52"/>
      <c r="B36" s="124"/>
      <c r="C36" s="107"/>
      <c r="D36" s="108"/>
      <c r="E36" s="109" t="s">
        <v>128</v>
      </c>
      <c r="F36" s="110" t="s">
        <v>129</v>
      </c>
      <c r="G36" s="110" t="s">
        <v>126</v>
      </c>
      <c r="H36" s="110" t="s">
        <v>23</v>
      </c>
      <c r="I36" s="111"/>
      <c r="J36" s="110"/>
      <c r="K36" s="110">
        <v>69</v>
      </c>
      <c r="L36" s="112">
        <v>0.15</v>
      </c>
      <c r="M36" s="125">
        <f>LEFT(G36,2)/(1-L36)</f>
        <v>60</v>
      </c>
      <c r="N36" s="112">
        <v>0.13</v>
      </c>
      <c r="O36" s="113">
        <f t="shared" si="5"/>
        <v>68.965517241379317</v>
      </c>
      <c r="P36" s="113">
        <v>69</v>
      </c>
      <c r="Q36" s="114"/>
    </row>
    <row r="37" spans="1:17" ht="24.95" customHeight="1" x14ac:dyDescent="0.25">
      <c r="A37" s="52"/>
      <c r="B37" s="124"/>
      <c r="C37" s="107"/>
      <c r="D37" s="108"/>
      <c r="E37" s="109" t="s">
        <v>130</v>
      </c>
      <c r="F37" s="110" t="s">
        <v>129</v>
      </c>
      <c r="G37" s="110" t="s">
        <v>126</v>
      </c>
      <c r="H37" s="110" t="s">
        <v>23</v>
      </c>
      <c r="I37" s="111"/>
      <c r="J37" s="110"/>
      <c r="K37" s="110">
        <v>75</v>
      </c>
      <c r="L37" s="112">
        <v>0.15</v>
      </c>
      <c r="M37" s="125">
        <f>LEFT(G37,2)/(1-L37)</f>
        <v>60</v>
      </c>
      <c r="N37" s="112">
        <v>0.13</v>
      </c>
      <c r="O37" s="113">
        <f t="shared" si="5"/>
        <v>68.965517241379317</v>
      </c>
      <c r="P37" s="113">
        <v>69</v>
      </c>
      <c r="Q37" s="114"/>
    </row>
    <row r="38" spans="1:17" ht="24.95" customHeight="1" x14ac:dyDescent="0.25">
      <c r="A38" s="52"/>
      <c r="B38" s="124"/>
      <c r="C38" s="107"/>
      <c r="D38" s="108"/>
      <c r="E38" s="109" t="s">
        <v>131</v>
      </c>
      <c r="F38" s="110" t="s">
        <v>132</v>
      </c>
      <c r="G38" s="110" t="s">
        <v>133</v>
      </c>
      <c r="H38" s="110" t="s">
        <v>23</v>
      </c>
      <c r="I38" s="111"/>
      <c r="J38" s="110"/>
      <c r="K38" s="110">
        <v>179</v>
      </c>
      <c r="L38" s="112">
        <v>0.15</v>
      </c>
      <c r="M38" s="125">
        <f>LEFT(G38,3)/(1-L38)</f>
        <v>162.35294117647058</v>
      </c>
      <c r="N38" s="112">
        <v>0.14000000000000001</v>
      </c>
      <c r="O38" s="113">
        <f t="shared" si="5"/>
        <v>188.78248974008207</v>
      </c>
      <c r="P38" s="113">
        <v>189</v>
      </c>
      <c r="Q38" s="114"/>
    </row>
    <row r="39" spans="1:17" ht="24.95" customHeight="1" thickBot="1" x14ac:dyDescent="0.3">
      <c r="A39" s="52"/>
      <c r="B39" s="124"/>
      <c r="C39" s="115"/>
      <c r="D39" s="116"/>
      <c r="E39" s="117" t="s">
        <v>134</v>
      </c>
      <c r="F39" s="118" t="s">
        <v>30</v>
      </c>
      <c r="G39" s="118" t="s">
        <v>135</v>
      </c>
      <c r="H39" s="118" t="s">
        <v>23</v>
      </c>
      <c r="I39" s="119"/>
      <c r="J39" s="118"/>
      <c r="K39" s="118">
        <v>199</v>
      </c>
      <c r="L39" s="120">
        <v>0.12</v>
      </c>
      <c r="M39" s="121">
        <f>LEFT(G39,3)/(1-L39)</f>
        <v>193.18181818181819</v>
      </c>
      <c r="N39" s="120">
        <v>0.1</v>
      </c>
      <c r="O39" s="121">
        <f t="shared" si="5"/>
        <v>214.64646464646464</v>
      </c>
      <c r="P39" s="118">
        <v>215</v>
      </c>
      <c r="Q39" s="126"/>
    </row>
    <row r="40" spans="1:17" ht="24.95" customHeight="1" x14ac:dyDescent="0.25">
      <c r="A40" s="52"/>
      <c r="B40" s="124"/>
      <c r="C40" s="98" t="s">
        <v>136</v>
      </c>
      <c r="D40" s="99" t="s">
        <v>19</v>
      </c>
      <c r="E40" s="100" t="s">
        <v>137</v>
      </c>
      <c r="F40" s="101" t="s">
        <v>26</v>
      </c>
      <c r="G40" s="101" t="s">
        <v>138</v>
      </c>
      <c r="H40" s="101" t="s">
        <v>23</v>
      </c>
      <c r="I40" s="101" t="s">
        <v>24</v>
      </c>
      <c r="J40" s="101"/>
      <c r="K40" s="101">
        <v>120</v>
      </c>
      <c r="L40" s="103">
        <v>0.19</v>
      </c>
      <c r="M40" s="104">
        <f>LEFT(G40,2)/(1-L40)</f>
        <v>101.23456790123456</v>
      </c>
      <c r="N40" s="103">
        <v>0.15</v>
      </c>
      <c r="O40" s="104">
        <f t="shared" si="5"/>
        <v>119.09949164851125</v>
      </c>
      <c r="P40" s="105">
        <v>119</v>
      </c>
      <c r="Q40" s="106"/>
    </row>
    <row r="41" spans="1:17" ht="24.95" customHeight="1" x14ac:dyDescent="0.25">
      <c r="A41" s="52"/>
      <c r="B41" s="124"/>
      <c r="C41" s="107"/>
      <c r="D41" s="108"/>
      <c r="E41" s="109" t="s">
        <v>139</v>
      </c>
      <c r="F41" s="110" t="s">
        <v>26</v>
      </c>
      <c r="G41" s="110" t="s">
        <v>52</v>
      </c>
      <c r="H41" s="110" t="s">
        <v>23</v>
      </c>
      <c r="I41" s="110" t="s">
        <v>24</v>
      </c>
      <c r="J41" s="110"/>
      <c r="K41" s="110">
        <v>130</v>
      </c>
      <c r="L41" s="112">
        <v>0.2</v>
      </c>
      <c r="M41" s="113">
        <f t="shared" ref="M41:M44" si="9">LEFT(G41,2)/(1-L41)</f>
        <v>106.25</v>
      </c>
      <c r="N41" s="112">
        <v>0.15</v>
      </c>
      <c r="O41" s="113">
        <f t="shared" si="5"/>
        <v>125</v>
      </c>
      <c r="P41" s="113">
        <v>125</v>
      </c>
      <c r="Q41" s="114"/>
    </row>
    <row r="42" spans="1:17" ht="24.75" customHeight="1" x14ac:dyDescent="0.25">
      <c r="A42" s="52"/>
      <c r="B42" s="124"/>
      <c r="C42" s="107"/>
      <c r="D42" s="108"/>
      <c r="E42" s="109" t="s">
        <v>140</v>
      </c>
      <c r="F42" s="110" t="s">
        <v>26</v>
      </c>
      <c r="G42" s="110" t="s">
        <v>52</v>
      </c>
      <c r="H42" s="110" t="s">
        <v>23</v>
      </c>
      <c r="I42" s="110" t="s">
        <v>24</v>
      </c>
      <c r="J42" s="110"/>
      <c r="K42" s="110">
        <v>130</v>
      </c>
      <c r="L42" s="112">
        <v>0.2</v>
      </c>
      <c r="M42" s="113">
        <f t="shared" si="9"/>
        <v>106.25</v>
      </c>
      <c r="N42" s="112">
        <v>0.15</v>
      </c>
      <c r="O42" s="113">
        <f t="shared" si="5"/>
        <v>125</v>
      </c>
      <c r="P42" s="113">
        <v>125</v>
      </c>
      <c r="Q42" s="114"/>
    </row>
    <row r="43" spans="1:17" ht="24.95" customHeight="1" x14ac:dyDescent="0.25">
      <c r="A43" s="52"/>
      <c r="B43" s="124"/>
      <c r="C43" s="107"/>
      <c r="D43" s="108"/>
      <c r="E43" s="109" t="s">
        <v>141</v>
      </c>
      <c r="F43" s="110" t="s">
        <v>26</v>
      </c>
      <c r="G43" s="110" t="s">
        <v>142</v>
      </c>
      <c r="H43" s="110" t="s">
        <v>23</v>
      </c>
      <c r="I43" s="110" t="s">
        <v>24</v>
      </c>
      <c r="J43" s="110"/>
      <c r="K43" s="110">
        <v>79</v>
      </c>
      <c r="L43" s="112">
        <v>0.18</v>
      </c>
      <c r="M43" s="113">
        <f>LEFT(G43,2)/(1-L43)</f>
        <v>67.073170731707307</v>
      </c>
      <c r="N43" s="112">
        <v>0.15</v>
      </c>
      <c r="O43" s="113">
        <f t="shared" si="5"/>
        <v>78.909612625538017</v>
      </c>
      <c r="P43" s="113">
        <v>79</v>
      </c>
      <c r="Q43" s="114"/>
    </row>
    <row r="44" spans="1:17" ht="24.95" customHeight="1" thickBot="1" x14ac:dyDescent="0.3">
      <c r="A44" s="127"/>
      <c r="B44" s="128"/>
      <c r="C44" s="115"/>
      <c r="D44" s="116"/>
      <c r="E44" s="117" t="s">
        <v>143</v>
      </c>
      <c r="F44" s="118" t="s">
        <v>26</v>
      </c>
      <c r="G44" s="118" t="s">
        <v>144</v>
      </c>
      <c r="H44" s="118" t="s">
        <v>23</v>
      </c>
      <c r="I44" s="118" t="s">
        <v>24</v>
      </c>
      <c r="J44" s="118"/>
      <c r="K44" s="118">
        <v>100</v>
      </c>
      <c r="L44" s="120">
        <v>0.2</v>
      </c>
      <c r="M44" s="121">
        <f t="shared" si="9"/>
        <v>81.25</v>
      </c>
      <c r="N44" s="120">
        <v>0.18</v>
      </c>
      <c r="O44" s="121">
        <f>M44/(1-N44)</f>
        <v>99.08536585365853</v>
      </c>
      <c r="P44" s="118">
        <v>99</v>
      </c>
      <c r="Q44" s="126"/>
    </row>
    <row r="45" spans="1:17" x14ac:dyDescent="0.25">
      <c r="L45" s="129" t="str">
        <f>"平均毛利:"&amp;ROUND(AVERAGE(L2:L44),3)</f>
        <v>平均毛利:0.225</v>
      </c>
      <c r="P45" s="130"/>
    </row>
    <row r="48" spans="1:17" x14ac:dyDescent="0.25">
      <c r="C48" s="129"/>
    </row>
    <row r="49" spans="3:17" x14ac:dyDescent="0.25">
      <c r="C49" s="131" t="s">
        <v>145</v>
      </c>
      <c r="D49" s="131" t="s">
        <v>146</v>
      </c>
      <c r="E49" s="132" t="s">
        <v>147</v>
      </c>
      <c r="F49" s="133" t="s">
        <v>148</v>
      </c>
      <c r="G49" s="133" t="s">
        <v>149</v>
      </c>
      <c r="H49" s="133" t="s">
        <v>68</v>
      </c>
      <c r="I49" s="134" t="s">
        <v>150</v>
      </c>
      <c r="J49" s="135"/>
      <c r="K49" s="135"/>
      <c r="L49" s="136">
        <v>0.1</v>
      </c>
      <c r="M49" s="137">
        <f>LEFT(G49,3)/(1-L49)</f>
        <v>165.55555555555554</v>
      </c>
      <c r="N49" s="136">
        <v>0.1</v>
      </c>
      <c r="O49" s="137">
        <f>M49/(1-N49)</f>
        <v>183.95061728395061</v>
      </c>
      <c r="P49" s="133">
        <v>185</v>
      </c>
      <c r="Q49" s="135"/>
    </row>
    <row r="50" spans="3:17" x14ac:dyDescent="0.25">
      <c r="C50" s="131"/>
      <c r="D50" s="131"/>
      <c r="E50" s="132" t="s">
        <v>151</v>
      </c>
      <c r="F50" s="133" t="s">
        <v>152</v>
      </c>
      <c r="G50" s="133" t="s">
        <v>149</v>
      </c>
      <c r="H50" s="133" t="s">
        <v>68</v>
      </c>
      <c r="I50" s="138"/>
      <c r="J50" s="135"/>
      <c r="K50" s="135"/>
      <c r="L50" s="136">
        <v>0.1</v>
      </c>
      <c r="M50" s="137">
        <f t="shared" ref="M50:M53" si="10">LEFT(G50,3)/(1-L50)</f>
        <v>165.55555555555554</v>
      </c>
      <c r="N50" s="136">
        <v>0.1</v>
      </c>
      <c r="O50" s="137">
        <f t="shared" ref="O50:O53" si="11">M50/(1-N50)</f>
        <v>183.95061728395061</v>
      </c>
      <c r="P50" s="133">
        <v>185</v>
      </c>
      <c r="Q50" s="135"/>
    </row>
    <row r="51" spans="3:17" x14ac:dyDescent="0.25">
      <c r="C51" s="131"/>
      <c r="D51" s="131"/>
      <c r="E51" s="132" t="s">
        <v>153</v>
      </c>
      <c r="F51" s="133" t="s">
        <v>154</v>
      </c>
      <c r="G51" s="133" t="s">
        <v>155</v>
      </c>
      <c r="H51" s="133" t="s">
        <v>68</v>
      </c>
      <c r="I51" s="138"/>
      <c r="J51" s="135"/>
      <c r="K51" s="135"/>
      <c r="L51" s="136">
        <v>0.1</v>
      </c>
      <c r="M51" s="137">
        <f t="shared" si="10"/>
        <v>183.33333333333334</v>
      </c>
      <c r="N51" s="136">
        <v>0.1</v>
      </c>
      <c r="O51" s="137">
        <f t="shared" si="11"/>
        <v>203.7037037037037</v>
      </c>
      <c r="P51" s="133">
        <v>205</v>
      </c>
      <c r="Q51" s="135"/>
    </row>
    <row r="52" spans="3:17" x14ac:dyDescent="0.25">
      <c r="C52" s="131"/>
      <c r="D52" s="131"/>
      <c r="E52" s="132" t="s">
        <v>156</v>
      </c>
      <c r="F52" s="133" t="s">
        <v>157</v>
      </c>
      <c r="G52" s="133" t="s">
        <v>149</v>
      </c>
      <c r="H52" s="133" t="s">
        <v>68</v>
      </c>
      <c r="I52" s="138"/>
      <c r="J52" s="135"/>
      <c r="K52" s="135"/>
      <c r="L52" s="136">
        <v>0.1</v>
      </c>
      <c r="M52" s="137">
        <f t="shared" si="10"/>
        <v>165.55555555555554</v>
      </c>
      <c r="N52" s="136">
        <v>0.1</v>
      </c>
      <c r="O52" s="137">
        <f t="shared" si="11"/>
        <v>183.95061728395061</v>
      </c>
      <c r="P52" s="133">
        <v>185</v>
      </c>
      <c r="Q52" s="135"/>
    </row>
    <row r="53" spans="3:17" x14ac:dyDescent="0.25">
      <c r="C53" s="131"/>
      <c r="D53" s="131"/>
      <c r="E53" s="132" t="s">
        <v>158</v>
      </c>
      <c r="F53" s="133" t="s">
        <v>159</v>
      </c>
      <c r="G53" s="133" t="s">
        <v>149</v>
      </c>
      <c r="H53" s="133" t="s">
        <v>68</v>
      </c>
      <c r="I53" s="139"/>
      <c r="J53" s="135"/>
      <c r="K53" s="135"/>
      <c r="L53" s="136">
        <v>0.1</v>
      </c>
      <c r="M53" s="137">
        <f t="shared" si="10"/>
        <v>165.55555555555554</v>
      </c>
      <c r="N53" s="136">
        <v>0.1</v>
      </c>
      <c r="O53" s="137">
        <f t="shared" si="11"/>
        <v>183.95061728395061</v>
      </c>
      <c r="P53" s="133">
        <v>185</v>
      </c>
      <c r="Q53" s="135"/>
    </row>
  </sheetData>
  <mergeCells count="33">
    <mergeCell ref="C49:C53"/>
    <mergeCell ref="D49:D53"/>
    <mergeCell ref="I49:I53"/>
    <mergeCell ref="I30:I34"/>
    <mergeCell ref="C35:C39"/>
    <mergeCell ref="D35:D39"/>
    <mergeCell ref="I35:I39"/>
    <mergeCell ref="C40:C44"/>
    <mergeCell ref="D40:D44"/>
    <mergeCell ref="D22:D24"/>
    <mergeCell ref="C25:C29"/>
    <mergeCell ref="D25:D29"/>
    <mergeCell ref="A30:A44"/>
    <mergeCell ref="B30:B34"/>
    <mergeCell ref="C30:C34"/>
    <mergeCell ref="D30:D34"/>
    <mergeCell ref="I6:I7"/>
    <mergeCell ref="D8:D9"/>
    <mergeCell ref="C10:C14"/>
    <mergeCell ref="D10:D14"/>
    <mergeCell ref="A15:A29"/>
    <mergeCell ref="B15:B29"/>
    <mergeCell ref="C15:C19"/>
    <mergeCell ref="D15:D19"/>
    <mergeCell ref="C20:C24"/>
    <mergeCell ref="D20:D21"/>
    <mergeCell ref="A2:A14"/>
    <mergeCell ref="B2:B14"/>
    <mergeCell ref="C2:C5"/>
    <mergeCell ref="D2:D3"/>
    <mergeCell ref="D4:D5"/>
    <mergeCell ref="C6:C9"/>
    <mergeCell ref="D6:D7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31" workbookViewId="0">
      <selection activeCell="H11" sqref="H11"/>
    </sheetView>
  </sheetViews>
  <sheetFormatPr defaultRowHeight="16.5" x14ac:dyDescent="0.25"/>
  <cols>
    <col min="2" max="2" width="42.75" bestFit="1" customWidth="1"/>
  </cols>
  <sheetData>
    <row r="1" spans="1:3" x14ac:dyDescent="0.25">
      <c r="A1" s="140" t="s">
        <v>196</v>
      </c>
      <c r="B1" s="140" t="s">
        <v>195</v>
      </c>
      <c r="C1" s="140" t="s">
        <v>197</v>
      </c>
    </row>
    <row r="2" spans="1:3" x14ac:dyDescent="0.25">
      <c r="A2" s="140" t="s">
        <v>198</v>
      </c>
      <c r="B2" s="140" t="s">
        <v>160</v>
      </c>
      <c r="C2" s="140">
        <v>55</v>
      </c>
    </row>
    <row r="3" spans="1:3" x14ac:dyDescent="0.25">
      <c r="A3" s="140" t="s">
        <v>198</v>
      </c>
      <c r="B3" s="140" t="s">
        <v>161</v>
      </c>
      <c r="C3" s="140">
        <v>55</v>
      </c>
    </row>
    <row r="4" spans="1:3" x14ac:dyDescent="0.25">
      <c r="A4" s="140" t="s">
        <v>198</v>
      </c>
      <c r="B4" s="140" t="s">
        <v>29</v>
      </c>
      <c r="C4" s="140">
        <v>39</v>
      </c>
    </row>
    <row r="5" spans="1:3" x14ac:dyDescent="0.25">
      <c r="A5" s="140" t="s">
        <v>198</v>
      </c>
      <c r="B5" s="140" t="s">
        <v>32</v>
      </c>
      <c r="C5" s="140">
        <v>39</v>
      </c>
    </row>
    <row r="6" spans="1:3" x14ac:dyDescent="0.25">
      <c r="A6" s="140" t="s">
        <v>198</v>
      </c>
      <c r="B6" s="140" t="s">
        <v>162</v>
      </c>
      <c r="C6" s="140">
        <v>200</v>
      </c>
    </row>
    <row r="7" spans="1:3" x14ac:dyDescent="0.25">
      <c r="A7" s="140" t="s">
        <v>199</v>
      </c>
      <c r="B7" s="140" t="s">
        <v>163</v>
      </c>
      <c r="C7" s="140">
        <v>199</v>
      </c>
    </row>
    <row r="8" spans="1:3" x14ac:dyDescent="0.25">
      <c r="A8" s="140" t="s">
        <v>200</v>
      </c>
      <c r="B8" s="140" t="s">
        <v>164</v>
      </c>
      <c r="C8" s="140">
        <v>75</v>
      </c>
    </row>
    <row r="9" spans="1:3" x14ac:dyDescent="0.25">
      <c r="A9" s="140" t="s">
        <v>200</v>
      </c>
      <c r="B9" s="140" t="s">
        <v>165</v>
      </c>
      <c r="C9" s="140">
        <v>75</v>
      </c>
    </row>
    <row r="10" spans="1:3" x14ac:dyDescent="0.25">
      <c r="A10" s="140" t="s">
        <v>201</v>
      </c>
      <c r="B10" s="140" t="s">
        <v>166</v>
      </c>
      <c r="C10" s="140">
        <v>130</v>
      </c>
    </row>
    <row r="11" spans="1:3" x14ac:dyDescent="0.25">
      <c r="A11" s="140" t="s">
        <v>201</v>
      </c>
      <c r="B11" s="140" t="s">
        <v>167</v>
      </c>
      <c r="C11" s="140">
        <v>130</v>
      </c>
    </row>
    <row r="12" spans="1:3" x14ac:dyDescent="0.25">
      <c r="A12" s="140" t="s">
        <v>198</v>
      </c>
      <c r="B12" s="140" t="s">
        <v>168</v>
      </c>
      <c r="C12" s="140">
        <v>55</v>
      </c>
    </row>
    <row r="13" spans="1:3" x14ac:dyDescent="0.25">
      <c r="A13" s="140" t="s">
        <v>198</v>
      </c>
      <c r="B13" s="140" t="s">
        <v>169</v>
      </c>
      <c r="C13" s="140">
        <v>55</v>
      </c>
    </row>
    <row r="14" spans="1:3" x14ac:dyDescent="0.25">
      <c r="A14" s="140" t="s">
        <v>198</v>
      </c>
      <c r="B14" s="140" t="s">
        <v>170</v>
      </c>
      <c r="C14" s="140">
        <v>55</v>
      </c>
    </row>
    <row r="15" spans="1:3" x14ac:dyDescent="0.25">
      <c r="A15" s="140" t="s">
        <v>198</v>
      </c>
      <c r="B15" s="140" t="s">
        <v>171</v>
      </c>
      <c r="C15" s="140">
        <v>25</v>
      </c>
    </row>
    <row r="16" spans="1:3" x14ac:dyDescent="0.25">
      <c r="A16" s="140" t="s">
        <v>201</v>
      </c>
      <c r="B16" s="140" t="s">
        <v>65</v>
      </c>
      <c r="C16" s="140">
        <v>70</v>
      </c>
    </row>
    <row r="17" spans="1:3" x14ac:dyDescent="0.25">
      <c r="A17" s="140" t="s">
        <v>201</v>
      </c>
      <c r="B17" s="140" t="s">
        <v>172</v>
      </c>
      <c r="C17" s="140">
        <v>70</v>
      </c>
    </row>
    <row r="18" spans="1:3" x14ac:dyDescent="0.25">
      <c r="A18" s="140" t="s">
        <v>201</v>
      </c>
      <c r="B18" s="140" t="s">
        <v>70</v>
      </c>
      <c r="C18" s="140">
        <v>89</v>
      </c>
    </row>
    <row r="19" spans="1:3" x14ac:dyDescent="0.25">
      <c r="A19" s="140" t="s">
        <v>201</v>
      </c>
      <c r="B19" s="140" t="s">
        <v>73</v>
      </c>
      <c r="C19" s="140">
        <v>105</v>
      </c>
    </row>
    <row r="20" spans="1:3" x14ac:dyDescent="0.25">
      <c r="A20" s="140" t="s">
        <v>202</v>
      </c>
      <c r="B20" s="140" t="s">
        <v>173</v>
      </c>
      <c r="C20" s="140">
        <v>99</v>
      </c>
    </row>
    <row r="21" spans="1:3" x14ac:dyDescent="0.25">
      <c r="A21" s="140" t="s">
        <v>202</v>
      </c>
      <c r="B21" s="140" t="s">
        <v>81</v>
      </c>
      <c r="C21" s="140">
        <v>109</v>
      </c>
    </row>
    <row r="22" spans="1:3" x14ac:dyDescent="0.25">
      <c r="A22" s="140" t="s">
        <v>201</v>
      </c>
      <c r="B22" s="140" t="s">
        <v>174</v>
      </c>
      <c r="C22" s="140">
        <v>105</v>
      </c>
    </row>
    <row r="23" spans="1:3" x14ac:dyDescent="0.25">
      <c r="A23" s="140" t="s">
        <v>201</v>
      </c>
      <c r="B23" s="140" t="s">
        <v>175</v>
      </c>
      <c r="C23" s="140">
        <v>105</v>
      </c>
    </row>
    <row r="24" spans="1:3" x14ac:dyDescent="0.25">
      <c r="A24" s="140" t="s">
        <v>201</v>
      </c>
      <c r="B24" s="140" t="s">
        <v>176</v>
      </c>
      <c r="C24" s="140">
        <v>105</v>
      </c>
    </row>
    <row r="25" spans="1:3" x14ac:dyDescent="0.25">
      <c r="A25" s="140" t="s">
        <v>203</v>
      </c>
      <c r="B25" s="140" t="s">
        <v>92</v>
      </c>
      <c r="C25" s="140">
        <v>25</v>
      </c>
    </row>
    <row r="26" spans="1:3" x14ac:dyDescent="0.25">
      <c r="A26" s="140" t="s">
        <v>203</v>
      </c>
      <c r="B26" s="140" t="s">
        <v>177</v>
      </c>
      <c r="C26" s="140">
        <v>765</v>
      </c>
    </row>
    <row r="27" spans="1:3" x14ac:dyDescent="0.25">
      <c r="A27" s="140" t="s">
        <v>203</v>
      </c>
      <c r="B27" s="140" t="s">
        <v>178</v>
      </c>
      <c r="C27" s="140">
        <v>565</v>
      </c>
    </row>
    <row r="28" spans="1:3" x14ac:dyDescent="0.25">
      <c r="A28" s="140" t="s">
        <v>203</v>
      </c>
      <c r="B28" s="140" t="s">
        <v>179</v>
      </c>
      <c r="C28" s="140">
        <v>149</v>
      </c>
    </row>
    <row r="29" spans="1:3" x14ac:dyDescent="0.25">
      <c r="A29" s="140" t="s">
        <v>203</v>
      </c>
      <c r="B29" s="140" t="s">
        <v>106</v>
      </c>
      <c r="C29" s="140">
        <v>269</v>
      </c>
    </row>
    <row r="30" spans="1:3" x14ac:dyDescent="0.25">
      <c r="A30" s="140" t="s">
        <v>199</v>
      </c>
      <c r="B30" s="140" t="s">
        <v>180</v>
      </c>
      <c r="C30" s="140">
        <v>25</v>
      </c>
    </row>
    <row r="31" spans="1:3" x14ac:dyDescent="0.25">
      <c r="A31" s="140" t="s">
        <v>199</v>
      </c>
      <c r="B31" s="140" t="s">
        <v>181</v>
      </c>
      <c r="C31" s="140">
        <v>25</v>
      </c>
    </row>
    <row r="32" spans="1:3" x14ac:dyDescent="0.25">
      <c r="A32" s="140" t="s">
        <v>199</v>
      </c>
      <c r="B32" s="140" t="s">
        <v>182</v>
      </c>
      <c r="C32" s="140">
        <v>299</v>
      </c>
    </row>
    <row r="33" spans="1:3" x14ac:dyDescent="0.25">
      <c r="A33" s="140" t="s">
        <v>199</v>
      </c>
      <c r="B33" s="140" t="s">
        <v>183</v>
      </c>
      <c r="C33" s="140">
        <v>299</v>
      </c>
    </row>
    <row r="34" spans="1:3" x14ac:dyDescent="0.25">
      <c r="A34" s="140" t="s">
        <v>199</v>
      </c>
      <c r="B34" s="140" t="s">
        <v>184</v>
      </c>
      <c r="C34" s="140">
        <v>299</v>
      </c>
    </row>
    <row r="35" spans="1:3" x14ac:dyDescent="0.25">
      <c r="A35" s="140" t="s">
        <v>198</v>
      </c>
      <c r="B35" s="140" t="s">
        <v>185</v>
      </c>
      <c r="C35" s="140">
        <v>69</v>
      </c>
    </row>
    <row r="36" spans="1:3" x14ac:dyDescent="0.25">
      <c r="A36" s="140" t="s">
        <v>198</v>
      </c>
      <c r="B36" s="140" t="s">
        <v>186</v>
      </c>
      <c r="C36" s="140">
        <v>69</v>
      </c>
    </row>
    <row r="37" spans="1:3" x14ac:dyDescent="0.25">
      <c r="A37" s="140" t="s">
        <v>198</v>
      </c>
      <c r="B37" s="140" t="s">
        <v>187</v>
      </c>
      <c r="C37" s="140">
        <v>69</v>
      </c>
    </row>
    <row r="38" spans="1:3" x14ac:dyDescent="0.25">
      <c r="A38" s="140" t="s">
        <v>198</v>
      </c>
      <c r="B38" s="140" t="s">
        <v>188</v>
      </c>
      <c r="C38" s="140">
        <v>189</v>
      </c>
    </row>
    <row r="39" spans="1:3" x14ac:dyDescent="0.25">
      <c r="A39" s="140" t="s">
        <v>198</v>
      </c>
      <c r="B39" s="140" t="s">
        <v>189</v>
      </c>
      <c r="C39" s="140">
        <v>215</v>
      </c>
    </row>
    <row r="40" spans="1:3" x14ac:dyDescent="0.25">
      <c r="A40" s="140" t="s">
        <v>198</v>
      </c>
      <c r="B40" s="140" t="s">
        <v>190</v>
      </c>
      <c r="C40" s="140">
        <v>119</v>
      </c>
    </row>
    <row r="41" spans="1:3" x14ac:dyDescent="0.25">
      <c r="A41" s="140" t="s">
        <v>198</v>
      </c>
      <c r="B41" s="140" t="s">
        <v>191</v>
      </c>
      <c r="C41" s="140">
        <v>125</v>
      </c>
    </row>
    <row r="42" spans="1:3" x14ac:dyDescent="0.25">
      <c r="A42" s="140" t="s">
        <v>198</v>
      </c>
      <c r="B42" s="140" t="s">
        <v>192</v>
      </c>
      <c r="C42" s="140">
        <v>125</v>
      </c>
    </row>
    <row r="43" spans="1:3" x14ac:dyDescent="0.25">
      <c r="A43" s="140" t="s">
        <v>198</v>
      </c>
      <c r="B43" s="140" t="s">
        <v>193</v>
      </c>
      <c r="C43" s="140">
        <v>79</v>
      </c>
    </row>
    <row r="44" spans="1:3" x14ac:dyDescent="0.25">
      <c r="A44" s="140" t="s">
        <v>198</v>
      </c>
      <c r="B44" s="140" t="s">
        <v>194</v>
      </c>
      <c r="C44" s="140">
        <v>99</v>
      </c>
    </row>
    <row r="45" spans="1:3" x14ac:dyDescent="0.25">
      <c r="A45" s="140" t="s">
        <v>204</v>
      </c>
      <c r="B45" s="140" t="s">
        <v>147</v>
      </c>
      <c r="C45" s="140">
        <v>185</v>
      </c>
    </row>
    <row r="46" spans="1:3" x14ac:dyDescent="0.25">
      <c r="A46" s="140" t="s">
        <v>204</v>
      </c>
      <c r="B46" s="140" t="s">
        <v>151</v>
      </c>
      <c r="C46" s="140">
        <v>185</v>
      </c>
    </row>
    <row r="47" spans="1:3" x14ac:dyDescent="0.25">
      <c r="A47" s="140" t="s">
        <v>204</v>
      </c>
      <c r="B47" s="140" t="s">
        <v>153</v>
      </c>
      <c r="C47" s="140">
        <v>205</v>
      </c>
    </row>
    <row r="48" spans="1:3" x14ac:dyDescent="0.25">
      <c r="A48" s="140" t="s">
        <v>204</v>
      </c>
      <c r="B48" s="140" t="s">
        <v>156</v>
      </c>
      <c r="C48" s="140">
        <v>185</v>
      </c>
    </row>
    <row r="49" spans="1:3" x14ac:dyDescent="0.25">
      <c r="A49" s="140" t="s">
        <v>204</v>
      </c>
      <c r="B49" s="140" t="s">
        <v>158</v>
      </c>
      <c r="C49" s="140">
        <v>185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2022-2月商品期程</vt:lpstr>
      <vt:lpstr>工作表2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tomato-2012-11-2</dc:creator>
  <cp:lastModifiedBy>tomato-2012-11-2</cp:lastModifiedBy>
  <dcterms:created xsi:type="dcterms:W3CDTF">2022-02-16T09:15:32Z</dcterms:created>
  <dcterms:modified xsi:type="dcterms:W3CDTF">2022-02-16T09:23:29Z</dcterms:modified>
</cp:coreProperties>
</file>